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f6ae428f8f45c4" /></Relationships>
</file>

<file path=xl/workbook.xml><?xml version="1.0" encoding="utf-8"?>
<x:workbook xmlns:x="http://schemas.openxmlformats.org/spreadsheetml/2006/main">
  <x:sheets>
    <x:sheet xmlns:r="http://schemas.openxmlformats.org/officeDocument/2006/relationships" name="Summary" sheetId="1" r:id="Rb50c83a6bd6b40c4"/>
    <x:sheet xmlns:r="http://schemas.openxmlformats.org/officeDocument/2006/relationships" name="Controls" sheetId="2" r:id="Ra07009acdb0e4765"/>
    <x:sheet xmlns:r="http://schemas.openxmlformats.org/officeDocument/2006/relationships" name="DCF" sheetId="3" r:id="Ra186980bc82c4d70"/>
    <x:sheet xmlns:r="http://schemas.openxmlformats.org/officeDocument/2006/relationships" name="History" sheetId="4" r:id="R551250b90e394517"/>
    <x:sheet xmlns:r="http://schemas.openxmlformats.org/officeDocument/2006/relationships" name="Peers" sheetId="5" r:id="R5cc0aa00a4a64e12"/>
    <x:sheet xmlns:r="http://schemas.openxmlformats.org/officeDocument/2006/relationships" name="Sources" sheetId="6" r:id="R3f61bbcb3e514dbf"/>
    <x:sheet xmlns:r="http://schemas.openxmlformats.org/officeDocument/2006/relationships" name="Audit" sheetId="7" r:id="Rb920a959e98b4f08"/>
    <x:sheet xmlns:r="http://schemas.openxmlformats.org/officeDocument/2006/relationships" name="ReadMe" sheetId="8" r:id="R11f57b8bc54546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quot;–&quot;"/>
    <x:numFmt numFmtId="201" formatCode="#,##0;(#,##0);&quot;–&quot;"/>
    <x:numFmt numFmtId="202" formatCode="0.0%"/>
    <x:numFmt numFmtId="203" formatCode="0.000000"/>
  </x:numFmts>
  <x:fonts count="11">
    <x:font>
      <x:sz val="11"/>
      <x:name val="Carlito"/>
    </x:font>
    <x:font>
      <x:sz val="11"/>
      <x:name val="Aptos"/>
    </x:font>
    <x:font>
      <x:b/>
      <x:sz val="20"/>
      <x:color rgb="FFFFFFFF"/>
      <x:name val="Aptos"/>
    </x:font>
    <x:font>
      <x:sz val="11"/>
      <x:color rgb="FF182B35"/>
      <x:name val="Aptos"/>
    </x:font>
    <x:font>
      <x:sz val="11"/>
      <x:color rgb="FF008000"/>
      <x:name val="Aptos"/>
    </x:font>
    <x:font>
      <x:b/>
      <x:sz val="12"/>
      <x:color rgb="FF007D69"/>
      <x:name val="Aptos"/>
    </x:font>
    <x:font>
      <x:sz val="11"/>
      <x:color rgb="FF000000"/>
      <x:name val="Aptos"/>
    </x:font>
    <x:font>
      <x:sz val="11"/>
      <x:color rgb="FF0000FF"/>
      <x:name val="Aptos"/>
    </x:font>
    <x:font>
      <x:b/>
      <x:sz val="11"/>
      <x:color rgb="FF102E36"/>
      <x:name val="Aptos"/>
    </x:font>
    <x:font>
      <x:b/>
      <x:sz val="16"/>
      <x:color rgb="FF9C452A"/>
      <x:name val="Aptos"/>
    </x:font>
    <x:font>
      <x:b/>
      <x:sz val="11"/>
      <x:color rgb="FFFFFFFF"/>
      <x:name val="Aptos"/>
    </x:font>
  </x:fonts>
  <x:fills count="5">
    <x:fill>
      <x:patternFill patternType="none"/>
    </x:fill>
    <x:fill>
      <x:patternFill patternType="gray125"/>
    </x:fill>
    <x:fill>
      <x:patternFill patternType="solid">
        <x:fgColor rgb="FF102E36"/>
      </x:patternFill>
    </x:fill>
    <x:fill>
      <x:patternFill patternType="solid">
        <x:fgColor rgb="FFDDEEE9"/>
      </x:patternFill>
    </x:fill>
    <x:fill>
      <x:patternFill patternType="solid">
        <x:fgColor rgb="FF168877"/>
      </x:patternFill>
    </x:fill>
  </x:fills>
  <x:borders count="2">
    <x:border>
      <x:left/>
      <x:right/>
      <x:top/>
      <x:bottom/>
      <x:diagonal/>
    </x:border>
    <x:border>
      <x:left/>
      <x:right/>
      <x:top/>
      <x:bottom style="thin">
        <x:color rgb="FF7DA69D"/>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20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200" fontId="6" fillId="0" borderId="0" xfId="0" applyNumberFormat="1" applyFont="1" applyFill="1" applyBorder="1"/>
    <x:xf numFmtId="201" fontId="1" fillId="0" borderId="0" xfId="0" applyNumberFormat="1" applyFont="1" applyFill="1" applyBorder="1"/>
    <x:xf numFmtId="200" fontId="7" fillId="0" borderId="0" xfId="0" applyNumberFormat="1" applyFont="1" applyFill="1" applyBorder="1"/>
    <x:xf numFmtId="202" fontId="6" fillId="0" borderId="0" xfId="0" applyNumberFormat="1" applyFont="1" applyFill="1" applyBorder="1"/>
    <x:xf numFmtId="202" fontId="7" fillId="0" borderId="0" xfId="0" applyNumberFormat="1" applyFont="1" applyFill="1" applyBorder="1"/>
    <x:xf numFmtId="0" fontId="1" fillId="3" borderId="0" xfId="0" applyNumberFormat="1" applyFont="1" applyFill="1" applyBorder="1"/>
    <x:xf numFmtId="200" fontId="1" fillId="3" borderId="0" xfId="0" applyNumberFormat="1" applyFont="1" applyFill="1" applyBorder="1"/>
    <x:xf numFmtId="0" fontId="8" fillId="3" borderId="0" xfId="0" applyNumberFormat="1" applyFont="1" applyFill="1" applyBorder="1"/>
    <x:xf numFmtId="200" fontId="8" fillId="3"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200" fontId="4" fillId="0" borderId="0" xfId="0" applyNumberFormat="1" applyFont="1" applyFill="1" applyBorder="1"/>
    <x:xf numFmtId="202" fontId="4" fillId="0" borderId="0" xfId="0" applyNumberFormat="1" applyFont="1" applyFill="1" applyBorder="1"/>
    <x:xf numFmtId="202" fontId="1" fillId="0" borderId="0" xfId="0" applyNumberFormat="1" applyFont="1" applyFill="1" applyBorder="1"/>
    <x:xf numFmtId="200" fontId="3" fillId="0" borderId="0" xfId="0" applyNumberFormat="1" applyFont="1" applyFill="1" applyBorder="1"/>
    <x:xf numFmtId="202" fontId="3" fillId="0" borderId="0" xfId="0" applyNumberFormat="1" applyFont="1" applyFill="1" applyBorder="1"/>
    <x:xf numFmtId="200" fontId="9" fillId="0" borderId="0" xfId="0" applyNumberFormat="1" applyFont="1" applyFill="1" applyBorder="1"/>
    <x:xf numFmtId="200" fontId="9" fillId="0" borderId="0" xfId="0" applyNumberFormat="1" applyFont="1" applyFill="1" applyBorder="1" applyAlignment="1">
      <x:alignment wrapText="1"/>
    </x:xf>
    <x:xf numFmtId="203" fontId="4" fillId="0" borderId="0" xfId="0" applyNumberFormat="1" applyFont="1" applyFill="1" applyBorder="1"/>
    <x:xf numFmtId="203" fontId="1" fillId="0" borderId="0" xfId="0" applyNumberFormat="1" applyFont="1" applyFill="1" applyBorder="1"/>
    <x:xf numFmtId="0" fontId="1" fillId="4" borderId="0" xfId="0" applyNumberFormat="1" applyFont="1" applyFill="1" applyBorder="1"/>
    <x:xf numFmtId="200" fontId="1" fillId="4" borderId="0" xfId="0" applyNumberFormat="1" applyFont="1" applyFill="1" applyBorder="1"/>
    <x:xf numFmtId="0" fontId="10" fillId="4" borderId="0" xfId="0" applyNumberFormat="1" applyFont="1" applyFill="1" applyBorder="1"/>
    <x:xf numFmtId="200" fontId="10" fillId="4" borderId="0" xfId="0" applyNumberFormat="1" applyFont="1" applyFill="1" applyBorder="1"/>
    <x:xf numFmtId="0" fontId="10" fillId="4" borderId="0" xfId="0" applyNumberFormat="1" applyFont="1" applyFill="1" applyBorder="1" applyAlignment="1">
      <x:alignment wrapText="1"/>
    </x:xf>
    <x:xf numFmtId="200" fontId="10" fillId="4" borderId="0" xfId="0" applyNumberFormat="1" applyFont="1" applyFill="1" applyBorder="1" applyAlignment="1">
      <x:alignment wrapText="1"/>
    </x:xf>
    <x:xf numFmtId="0" fontId="1" fillId="0" borderId="1" xfId="0" applyNumberFormat="1" applyFont="1" applyFill="1" applyBorder="1"/>
    <x:xf numFmtId="200" fontId="6" fillId="0" borderId="1" xfId="0" applyNumberFormat="1" applyFont="1" applyFill="1" applyBorder="1"/>
    <x:xf numFmtId="200" fontId="1" fillId="0" borderId="1" xfId="0" applyNumberFormat="1" applyFont="1" applyFill="1" applyBorder="1"/>
    <x:xf numFmtId="200" fontId="4" fillId="0" borderId="1" xfId="0" applyNumberFormat="1" applyFont="1" applyFill="1" applyBorder="1"/>
    <x:xf numFmtId="200" fontId="3"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9687a81fe8468d" /><Relationship Type="http://schemas.openxmlformats.org/officeDocument/2006/relationships/theme" Target="/xl/theme/theme1.xml" Id="R702172fd63504c3c" /><Relationship Type="http://schemas.openxmlformats.org/officeDocument/2006/relationships/sharedStrings" Target="/xl/sharedStrings.xml" Id="R2c04e186e56e44fa" /><Relationship Type="http://schemas.openxmlformats.org/officeDocument/2006/relationships/worksheet" Target="/xl/worksheets/sheet1.xml" Id="Rb50c83a6bd6b40c4" /><Relationship Type="http://schemas.openxmlformats.org/officeDocument/2006/relationships/worksheet" Target="/xl/worksheets/sheet2.xml" Id="Ra07009acdb0e4765" /><Relationship Type="http://schemas.openxmlformats.org/officeDocument/2006/relationships/worksheet" Target="/xl/worksheets/sheet3.xml" Id="Ra186980bc82c4d70" /><Relationship Type="http://schemas.openxmlformats.org/officeDocument/2006/relationships/worksheet" Target="/xl/worksheets/sheet4.xml" Id="R551250b90e394517" /><Relationship Type="http://schemas.openxmlformats.org/officeDocument/2006/relationships/worksheet" Target="/xl/worksheets/sheet5.xml" Id="R5cc0aa00a4a64e12" /><Relationship Type="http://schemas.openxmlformats.org/officeDocument/2006/relationships/worksheet" Target="/xl/worksheets/sheet6.xml" Id="R3f61bbcb3e514dbf" /><Relationship Type="http://schemas.openxmlformats.org/officeDocument/2006/relationships/worksheet" Target="/xl/worksheets/sheet7.xml" Id="Rb920a959e98b4f08" /><Relationship Type="http://schemas.openxmlformats.org/officeDocument/2006/relationships/worksheet" Target="/xl/worksheets/sheet8.xml" Id="R11f57b8bc54546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1" customHeight="1">
      <x:c r="A1" s="1"/>
      <x:c r="B1" s="1"/>
      <x:c r="C1" s="4" t="str">
        <x:v>VISTA / Summary</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t="str">
        <x:v>Selected scenario</x:v>
      </x:c>
      <x:c r="D3" s="6" t="str">
        <x:f>Controls!D4</x:f>
        <x:v>Base</x:v>
      </x:c>
      <x:c r="E3" s="1"/>
      <x:c r="F3" s="1"/>
      <x:c r="G3" s="1"/>
      <x:c r="H3" s="1"/>
      <x:c r="I3" s="1"/>
      <x:c r="J3" s="1"/>
      <x:c r="K3" s="1"/>
      <x:c r="L3" s="1"/>
    </x:row>
    <x:row r="4" ht="27" customHeight="1">
      <x:c r="A4" s="1"/>
      <x:c r="B4" s="1"/>
      <x:c r="C4" s="7" t="str">
        <x:v>Prepared by Ariel Arviano Putra · Student number: 29125401</x:v>
      </x:c>
      <x:c r="D4" s="8"/>
      <x:c r="E4" s="8"/>
      <x:c r="F4" s="8"/>
      <x:c r="G4" s="8"/>
      <x:c r="H4" s="8"/>
      <x:c r="I4" s="8"/>
      <x:c r="J4" s="8"/>
      <x:c r="K4" s="1"/>
      <x:c r="L4" s="1"/>
    </x:row>
    <x:row r="5" ht="21" customHeight="1">
      <x:c r="A5" s="1"/>
      <x:c r="B5" s="1"/>
      <x:c r="C5" s="1"/>
      <x:c r="D5" s="2"/>
      <x:c r="E5" s="2"/>
      <x:c r="F5" s="2"/>
      <x:c r="G5" s="2"/>
      <x:c r="H5" s="2"/>
      <x:c r="I5" s="2"/>
      <x:c r="J5" s="2"/>
      <x:c r="K5" s="1"/>
      <x:c r="L5" s="1"/>
    </x:row>
    <x:row r="6" ht="21" customHeight="1">
      <x:c r="A6" s="1"/>
      <x:c r="B6" s="1"/>
      <x:c r="C6" s="1" t="str">
        <x:v>Market price / IDR</x:v>
      </x:c>
      <x:c r="D6" s="23" t="n">
        <x:f>Controls!D60</x:f>
        <x:v>242</x:v>
      </x:c>
      <x:c r="E6" s="2"/>
      <x:c r="F6" s="2"/>
      <x:c r="G6" s="2"/>
      <x:c r="H6" s="2"/>
      <x:c r="I6" s="2"/>
      <x:c r="J6" s="2"/>
      <x:c r="K6" s="1"/>
      <x:c r="L6" s="1"/>
    </x:row>
    <x:row r="7" ht="21" customHeight="1">
      <x:c r="A7" s="1"/>
      <x:c r="B7" s="1"/>
      <x:c r="C7" s="1" t="str">
        <x:v>Market equity / issued basis</x:v>
      </x:c>
      <x:c r="D7" s="23" t="n">
        <x:f>Controls!D60*Controls!D61/1000</x:f>
        <x:v>9846.359087048</x:v>
      </x:c>
      <x:c r="E7" s="2"/>
      <x:c r="F7" s="2"/>
      <x:c r="G7" s="2"/>
      <x:c r="H7" s="2"/>
      <x:c r="I7" s="2"/>
      <x:c r="J7" s="2"/>
      <x:c r="K7" s="1"/>
      <x:c r="L7" s="1"/>
    </x:row>
    <x:row r="8" ht="21" customHeight="1">
      <x:c r="A8" s="1"/>
      <x:c r="B8" s="1"/>
      <x:c r="C8" s="1" t="str">
        <x:v>Observed EV before nonoperating assets</x:v>
      </x:c>
      <x:c r="D8" s="23" t="n">
        <x:f>D7+DCF!D33-DCF!D34+DCF!D37</x:f>
        <x:v>15393.305296048002</x:v>
      </x:c>
      <x:c r="E8" s="2"/>
      <x:c r="F8" s="2"/>
      <x:c r="G8" s="2"/>
      <x:c r="H8" s="2"/>
      <x:c r="I8" s="2"/>
      <x:c r="J8" s="2"/>
      <x:c r="K8" s="1"/>
      <x:c r="L8" s="1"/>
    </x:row>
    <x:row r="9" ht="21" customHeight="1">
      <x:c r="A9" s="1"/>
      <x:c r="B9" s="1"/>
      <x:c r="C9" s="1" t="str">
        <x:v>Normalized annualized EV / EBITDA</x:v>
      </x:c>
      <x:c r="D9" s="23" t="n">
        <x:f>D8/Peers!D15</x:f>
        <x:v>7.4226149541787025</x:v>
      </x:c>
      <x:c r="E9" s="2"/>
      <x:c r="F9" s="2"/>
      <x:c r="G9" s="2"/>
      <x:c r="H9" s="2"/>
      <x:c r="I9" s="2"/>
      <x:c r="J9" s="2"/>
      <x:c r="K9" s="1"/>
      <x:c r="L9" s="1"/>
    </x:row>
    <x:row r="10" ht="21" customHeight="1">
      <x:c r="A10" s="1"/>
      <x:c r="B10" s="1"/>
      <x:c r="C10" s="1" t="str">
        <x:v>Price / book on issued basis</x:v>
      </x:c>
      <x:c r="D10" s="23" t="n">
        <x:f>D7/Sources!F156</x:f>
        <x:v>1.1928103789605953</x:v>
      </x:c>
      <x:c r="E10" s="2"/>
      <x:c r="F10" s="2"/>
      <x:c r="G10" s="2"/>
      <x:c r="H10" s="2"/>
      <x:c r="I10" s="2"/>
      <x:c r="J10" s="2"/>
      <x:c r="K10" s="1"/>
      <x:c r="L10" s="1"/>
    </x:row>
    <x:row r="11" ht="21" customHeight="1">
      <x:c r="A11" s="1"/>
      <x:c r="B11" s="1"/>
      <x:c r="C11" s="1"/>
      <x:c r="D11" s="2"/>
      <x:c r="E11" s="2"/>
      <x:c r="F11" s="2"/>
      <x:c r="G11" s="2"/>
      <x:c r="H11" s="2"/>
      <x:c r="I11" s="2"/>
      <x:c r="J11" s="2"/>
      <x:c r="K11" s="1"/>
      <x:c r="L11" s="1"/>
    </x:row>
    <x:row r="12" ht="21" customHeight="1">
      <x:c r="A12" s="1"/>
      <x:c r="B12" s="1"/>
      <x:c r="C12" s="35" t="str">
        <x:v>DCF IDR per share</x:v>
      </x:c>
      <x:c r="D12" s="39" t="n">
        <x:f>DCF!D40</x:f>
        <x:v>79.79174140792273</x:v>
      </x:c>
      <x:c r="E12" s="37"/>
      <x:c r="F12" s="37"/>
      <x:c r="G12" s="37"/>
      <x:c r="H12" s="37"/>
      <x:c r="I12" s="2"/>
      <x:c r="J12" s="2"/>
      <x:c r="K12" s="1"/>
      <x:c r="L12" s="1"/>
    </x:row>
    <x:row r="13" ht="21" customHeight="1">
      <x:c r="A13" s="1"/>
      <x:c r="B13" s="1"/>
      <x:c r="C13" s="35" t="str">
        <x:v>Relative IDR per share</x:v>
      </x:c>
      <x:c r="D13" s="39" t="n">
        <x:f>Peers!D18</x:f>
        <x:v>209.0726266232373</x:v>
      </x:c>
      <x:c r="E13" s="37"/>
      <x:c r="F13" s="37"/>
      <x:c r="G13" s="37"/>
      <x:c r="H13" s="37"/>
      <x:c r="I13" s="2"/>
      <x:c r="J13" s="2"/>
      <x:c r="K13" s="1"/>
      <x:c r="L13" s="1"/>
    </x:row>
    <x:row r="14" ht="21" customHeight="1">
      <x:c r="A14" s="1"/>
      <x:c r="B14" s="1"/>
      <x:c r="C14" s="1"/>
      <x:c r="D14" s="2"/>
      <x:c r="E14" s="2"/>
      <x:c r="F14" s="2"/>
      <x:c r="G14" s="2"/>
      <x:c r="H14" s="2"/>
      <x:c r="I14" s="2"/>
      <x:c r="J14" s="2"/>
      <x:c r="K14" s="1"/>
      <x:c r="L14" s="1"/>
    </x:row>
    <x:row r="15" ht="21" customHeight="1">
      <x:c r="A15" s="1"/>
      <x:c r="B15" s="1"/>
      <x:c r="C15" s="1" t="str">
        <x:v>DCF suitability / 100</x:v>
      </x:c>
      <x:c r="D15" s="23" t="n">
        <x:f>100*(0.4*Controls!D64+0.3*Controls!D65+0.3*(1-MIN(1,MAX(0,DCF!D41))))</x:f>
        <x:v>52.40053797255402</x:v>
      </x:c>
      <x:c r="E15" s="2"/>
      <x:c r="F15" s="2"/>
      <x:c r="G15" s="2"/>
      <x:c r="H15" s="2"/>
      <x:c r="I15" s="2"/>
      <x:c r="J15" s="2"/>
      <x:c r="K15" s="1"/>
      <x:c r="L15" s="1"/>
    </x:row>
    <x:row r="16" ht="21" customHeight="1">
      <x:c r="A16" s="1"/>
      <x:c r="B16" s="1"/>
      <x:c r="C16" s="1" t="str">
        <x:v>Relative suitability / 100</x:v>
      </x:c>
      <x:c r="D16" s="23" t="n">
        <x:f>IF(Peers!D13=0,0,100*(0.4*Controls!D66+0.3*MIN(Peers!D13/4,1)+0.3/(1+Peers!D19)))</x:f>
        <x:v>66.9608807476735</x:v>
      </x:c>
      <x:c r="E16" s="2"/>
      <x:c r="F16" s="2"/>
      <x:c r="G16" s="2"/>
      <x:c r="H16" s="2"/>
      <x:c r="I16" s="2"/>
      <x:c r="J16" s="2"/>
      <x:c r="K16" s="1"/>
      <x:c r="L16" s="1"/>
    </x:row>
    <x:row r="17" ht="21" customHeight="1">
      <x:c r="A17" s="1"/>
      <x:c r="B17" s="1"/>
      <x:c r="C17" s="1" t="str">
        <x:v>Asset suitability / diagnostic</x:v>
      </x:c>
      <x:c r="D17" s="23" t="n">
        <x:f>100*(0.5*Controls!D64+0.5*Controls!D67)</x:f>
        <x:v>55.00000000000001</x:v>
      </x:c>
      <x:c r="E17" s="2"/>
      <x:c r="F17" s="2"/>
      <x:c r="G17" s="2"/>
      <x:c r="H17" s="2"/>
      <x:c r="I17" s="2"/>
      <x:c r="J17" s="2"/>
      <x:c r="K17" s="1"/>
      <x:c r="L17" s="1"/>
    </x:row>
    <x:row r="18" ht="21" customHeight="1">
      <x:c r="A18" s="1"/>
      <x:c r="B18" s="1"/>
      <x:c r="C18" s="1"/>
      <x:c r="D18" s="2"/>
      <x:c r="E18" s="2"/>
      <x:c r="F18" s="2"/>
      <x:c r="G18" s="2"/>
      <x:c r="H18" s="2"/>
      <x:c r="I18" s="2"/>
      <x:c r="J18" s="2"/>
      <x:c r="K18" s="1"/>
      <x:c r="L18" s="1"/>
    </x:row>
    <x:row r="19" ht="21" customHeight="1">
      <x:c r="A19" s="1"/>
      <x:c r="B19" s="1"/>
      <x:c r="C19" s="1" t="str">
        <x:v>DCF blend weight</x:v>
      </x:c>
      <x:c r="D19" s="24" t="n">
        <x:f>IF(D15+D16=0,1,D15/(D15+D16))</x:f>
        <x:v>0.43900733197027586</x:v>
      </x:c>
      <x:c r="E19" s="2"/>
      <x:c r="F19" s="2"/>
      <x:c r="G19" s="2"/>
      <x:c r="H19" s="2"/>
      <x:c r="I19" s="2"/>
      <x:c r="J19" s="2"/>
      <x:c r="K19" s="1"/>
      <x:c r="L19" s="1"/>
    </x:row>
    <x:row r="20" ht="21" customHeight="1">
      <x:c r="A20" s="1"/>
      <x:c r="B20" s="1"/>
      <x:c r="C20" s="1" t="str">
        <x:v>Relative blend weight</x:v>
      </x:c>
      <x:c r="D20" s="24" t="n">
        <x:f>1-D19</x:f>
        <x:v>0.5609926680297241</x:v>
      </x:c>
      <x:c r="E20" s="2"/>
      <x:c r="F20" s="2"/>
      <x:c r="G20" s="2"/>
      <x:c r="H20" s="2"/>
      <x:c r="I20" s="2"/>
      <x:c r="J20" s="2"/>
      <x:c r="K20" s="1"/>
      <x:c r="L20" s="1"/>
    </x:row>
    <x:row r="21" ht="21" customHeight="1">
      <x:c r="A21" s="1"/>
      <x:c r="B21" s="1"/>
      <x:c r="C21" s="1"/>
      <x:c r="D21" s="2"/>
      <x:c r="E21" s="2"/>
      <x:c r="F21" s="2"/>
      <x:c r="G21" s="2"/>
      <x:c r="H21" s="2"/>
      <x:c r="I21" s="2"/>
      <x:c r="J21" s="2"/>
      <x:c r="K21" s="1"/>
      <x:c r="L21" s="1"/>
    </x:row>
    <x:row r="22" ht="21" customHeight="1">
      <x:c r="A22" s="1"/>
      <x:c r="B22" s="1"/>
      <x:c r="C22" s="35" t="str">
        <x:v>Blended IDR per share</x:v>
      </x:c>
      <x:c r="D22" s="39" t="n">
        <x:f>D19*D12+IF(D20=0,0,D20*D13)</x:f>
        <x:v>152.31737013010658</x:v>
      </x:c>
      <x:c r="E22" s="37"/>
      <x:c r="F22" s="37"/>
      <x:c r="G22" s="37"/>
      <x:c r="H22" s="37"/>
      <x:c r="I22" s="2"/>
      <x:c r="J22" s="2"/>
      <x:c r="K22" s="1"/>
      <x:c r="L22" s="1"/>
    </x:row>
    <x:row r="23" ht="21" customHeight="1">
      <x:c r="A23" s="1"/>
      <x:c r="B23" s="1"/>
      <x:c r="C23" s="1" t="str">
        <x:v>Valuation gap versus price</x:v>
      </x:c>
      <x:c r="D23" s="24" t="n">
        <x:f>D22/D6-1</x:f>
        <x:v>-0.3705893796276587</x:v>
      </x:c>
      <x:c r="E23" s="2"/>
      <x:c r="F23" s="2"/>
      <x:c r="G23" s="2"/>
      <x:c r="H23" s="2"/>
      <x:c r="I23" s="2"/>
      <x:c r="J23" s="2"/>
      <x:c r="K23" s="1"/>
      <x:c r="L23" s="1"/>
    </x:row>
    <x:row r="24" ht="21" customHeight="1">
      <x:c r="A24" s="1"/>
      <x:c r="B24" s="1"/>
      <x:c r="C24" s="1" t="str">
        <x:v>Approach disagreement</x:v>
      </x:c>
      <x:c r="D24" s="23" t="n">
        <x:f>IF(D20=0,0,ABS(D12-D13)/MAX(D22,1))</x:f>
        <x:v>0.8487599615518922</x:v>
      </x:c>
      <x:c r="E24" s="2"/>
      <x:c r="F24" s="2"/>
      <x:c r="G24" s="2"/>
      <x:c r="H24" s="2"/>
      <x:c r="I24" s="2"/>
      <x:c r="J24" s="2"/>
      <x:c r="K24" s="1"/>
      <x:c r="L24" s="1"/>
    </x:row>
    <x:row r="25" ht="21" customHeight="1">
      <x:c r="A25" s="1"/>
      <x:c r="B25" s="1"/>
      <x:c r="C25" s="35" t="str">
        <x:v>Confidence / 100</x:v>
      </x:c>
      <x:c r="D25" s="39" t="n">
        <x:f>MAX(0,MIN(100,D15*D19+D16*D20-20*MIN(D24,1)-Controls!D69))</x:f>
        <x:v>33.593584282357774</x:v>
      </x:c>
      <x:c r="E25" s="37"/>
      <x:c r="F25" s="37"/>
      <x:c r="G25" s="37"/>
      <x:c r="H25" s="37"/>
      <x:c r="I25" s="2"/>
      <x:c r="J25" s="2"/>
      <x:c r="K25" s="1"/>
      <x:c r="L25" s="1"/>
    </x:row>
    <x:row r="26" ht="21" customHeight="1">
      <x:c r="A26" s="1"/>
      <x:c r="B26" s="1"/>
      <x:c r="C26" s="1"/>
      <x:c r="D26" s="2"/>
      <x:c r="E26" s="2"/>
      <x:c r="F26" s="2"/>
      <x:c r="G26" s="2"/>
      <x:c r="H26" s="2"/>
      <x:c r="I26" s="2"/>
      <x:c r="J26" s="2"/>
      <x:c r="K26" s="1"/>
      <x:c r="L26" s="1"/>
    </x:row>
    <x:row r="27" ht="21" customHeight="1">
      <x:c r="A27" s="1"/>
      <x:c r="B27" s="1"/>
      <x:c r="C27" s="1" t="str">
        <x:v>Recommendation</x:v>
      </x:c>
      <x:c r="D27" s="26" t="str">
        <x:f>IF(D25&lt;60,"PROVISIONAL ","")&amp;IF(D23&lt;-Controls!D68,"AVOID / REDUCE",IF(D23&gt;Controls!D68,"BUY CANDIDATE","WATCH / HOLD"))</x:f>
        <x:v>PROVISIONAL AVOID / REDUCE</x:v>
      </x:c>
      <x:c r="E27" s="26"/>
      <x:c r="F27" s="26"/>
      <x:c r="G27" s="26"/>
      <x:c r="H27" s="26"/>
      <x:c r="I27" s="26"/>
      <x:c r="J27" s="26"/>
      <x:c r="K27" s="1"/>
      <x:c r="L27" s="1"/>
    </x:row>
    <x:row r="28" ht="21" customHeight="1">
      <x:c r="A28" s="1"/>
      <x:c r="B28" s="1"/>
      <x:c r="C28" s="1"/>
      <x:c r="D28" s="26"/>
      <x:c r="E28" s="26"/>
      <x:c r="F28" s="26"/>
      <x:c r="G28" s="26"/>
      <x:c r="H28" s="26"/>
      <x:c r="I28" s="26"/>
      <x:c r="J28" s="26"/>
      <x:c r="K28" s="1"/>
      <x:c r="L28" s="1"/>
    </x:row>
    <x:row r="29" ht="21" customHeight="1">
      <x:c r="A29" s="1"/>
      <x:c r="B29" s="1"/>
      <x:c r="C29" s="1"/>
      <x:c r="D29" s="2"/>
      <x:c r="E29" s="2"/>
      <x:c r="F29" s="2"/>
      <x:c r="G29" s="2"/>
      <x:c r="H29" s="2"/>
      <x:c r="I29" s="2"/>
      <x:c r="J29" s="2"/>
      <x:c r="K29" s="1"/>
      <x:c r="L29" s="1"/>
    </x:row>
    <x:row r="30" ht="21" customHeight="1">
      <x:c r="A30" s="1"/>
      <x:c r="B30" s="1"/>
      <x:c r="C30" s="1"/>
      <x:c r="D30" s="2"/>
      <x:c r="E30" s="2"/>
      <x:c r="F30" s="2"/>
      <x:c r="G30" s="2"/>
      <x:c r="H30" s="2"/>
      <x:c r="I30" s="2"/>
      <x:c r="J30" s="2"/>
      <x:c r="K30" s="1"/>
      <x:c r="L30" s="1"/>
    </x:row>
    <x:row r="31" ht="21" customHeight="1">
      <x:c r="A31" s="1"/>
      <x:c r="B31" s="1"/>
      <x:c r="C31" s="18" t="str">
        <x:v>19 October 2026 reference. Shares include treasury shares. Assumption-dependent academic value. Asset approach has no blend weight without an independent reserve NAV. Change the case on Controls. Simultaneous scenarios and Monte Carlo are in the app.</x:v>
      </x:c>
      <x:c r="D31" s="19"/>
      <x:c r="E31" s="19"/>
      <x:c r="F31" s="19"/>
      <x:c r="G31" s="19"/>
      <x:c r="H31" s="19"/>
      <x:c r="I31" s="19"/>
      <x:c r="J31" s="19"/>
      <x:c r="K31" s="1"/>
      <x:c r="L31" s="1"/>
    </x:row>
    <x:row r="32" ht="21" customHeight="1">
      <x:c r="A32" s="1"/>
      <x:c r="B32" s="1"/>
      <x:c r="C32" s="18"/>
      <x:c r="D32" s="19"/>
      <x:c r="E32" s="19"/>
      <x:c r="F32" s="19"/>
      <x:c r="G32" s="19"/>
      <x:c r="H32" s="19"/>
      <x:c r="I32" s="19"/>
      <x:c r="J32" s="19"/>
      <x:c r="K32" s="1"/>
      <x:c r="L32" s="1"/>
    </x:row>
    <x:row r="33" ht="21" customHeight="1">
      <x:c r="A33" s="1"/>
      <x:c r="B33" s="1"/>
      <x:c r="C33" s="18"/>
      <x:c r="D33" s="19"/>
      <x:c r="E33" s="19"/>
      <x:c r="F33" s="19"/>
      <x:c r="G33" s="19"/>
      <x:c r="H33" s="19"/>
      <x:c r="I33" s="19"/>
      <x:c r="J33" s="19"/>
      <x:c r="K33" s="1"/>
      <x:c r="L33" s="1"/>
    </x:row>
    <x:row r="34" ht="21" customHeight="1">
      <x:c r="A34" s="1"/>
      <x:c r="B34" s="1"/>
      <x:c r="C34" s="18"/>
      <x:c r="D34" s="19"/>
      <x:c r="E34" s="19"/>
      <x:c r="F34" s="19"/>
      <x:c r="G34" s="19"/>
      <x:c r="H34" s="19"/>
      <x:c r="I34" s="19"/>
      <x:c r="J34" s="19"/>
      <x:c r="K34" s="1"/>
      <x:c r="L34" s="1"/>
    </x:row>
    <x:row r="35" ht="21" customHeight="1">
      <x:c r="A35" s="1"/>
      <x:c r="B35" s="1"/>
      <x:c r="C35" s="1"/>
      <x:c r="D35" s="2"/>
      <x:c r="E35" s="2"/>
      <x:c r="F35" s="2"/>
      <x:c r="G35" s="2"/>
      <x:c r="H35" s="2"/>
      <x:c r="I35" s="2"/>
      <x:c r="J35" s="2"/>
      <x:c r="K35" s="1"/>
      <x:c r="L35" s="1"/>
    </x:row>
    <x:row r="36" ht="21" customHeight="1">
      <x:c r="A36" s="1"/>
      <x:c r="B36" s="1"/>
      <x:c r="C36" s="1"/>
      <x:c r="D36" s="2"/>
      <x:c r="E36" s="2"/>
      <x:c r="F36" s="2"/>
      <x:c r="G36" s="2"/>
      <x:c r="H36" s="2"/>
      <x:c r="I36" s="2"/>
      <x:c r="J36" s="2"/>
      <x:c r="K36" s="1"/>
      <x:c r="L36" s="1"/>
    </x:row>
    <x:row r="37" ht="21" customHeight="1">
      <x:c r="A37" s="1"/>
      <x:c r="B37" s="1"/>
      <x:c r="C37" s="1"/>
      <x:c r="D37" s="2"/>
      <x:c r="E37" s="2"/>
      <x:c r="F37" s="2"/>
      <x:c r="G37" s="2"/>
      <x:c r="H37" s="2"/>
      <x:c r="I37" s="2"/>
      <x:c r="J37" s="2"/>
      <x:c r="K37" s="1"/>
      <x:c r="L37" s="1"/>
    </x:row>
    <x:row r="38" ht="21" customHeight="1">
      <x:c r="A38" s="1"/>
      <x:c r="B38" s="1"/>
      <x:c r="C38" s="1"/>
      <x:c r="D38" s="2"/>
      <x:c r="E38" s="2"/>
      <x:c r="F38" s="2"/>
      <x:c r="G38" s="2"/>
      <x:c r="H38" s="2"/>
      <x:c r="I38" s="2"/>
      <x:c r="J38" s="2"/>
      <x:c r="K38" s="1"/>
      <x:c r="L38" s="1"/>
    </x:row>
    <x:row r="39" ht="21" customHeight="1">
      <x:c r="A39" s="1"/>
      <x:c r="B39" s="1"/>
      <x:c r="C39" s="1"/>
      <x:c r="D39" s="2"/>
      <x:c r="E39" s="2"/>
      <x:c r="F39" s="2"/>
      <x:c r="G39" s="2"/>
      <x:c r="H39" s="2"/>
      <x:c r="I39" s="2"/>
      <x:c r="J39" s="2"/>
      <x:c r="K39" s="1"/>
      <x:c r="L39" s="1"/>
    </x:row>
    <x:row r="40" ht="21" customHeight="1">
      <x:c r="A40" s="1"/>
      <x:c r="B40" s="1"/>
      <x:c r="C40" s="1"/>
      <x:c r="D40" s="2"/>
      <x:c r="E40" s="2"/>
      <x:c r="F40" s="2"/>
      <x:c r="G40" s="2"/>
      <x:c r="H40" s="2"/>
      <x:c r="I40" s="2"/>
      <x:c r="J40" s="2"/>
      <x:c r="K40" s="1"/>
      <x:c r="L40" s="1"/>
    </x:row>
    <x:row r="41" ht="21" customHeight="1">
      <x:c r="A41" s="1"/>
      <x:c r="B41" s="1"/>
      <x:c r="C41" s="1"/>
      <x:c r="D41" s="2"/>
      <x:c r="E41" s="2"/>
      <x:c r="F41" s="2"/>
      <x:c r="G41" s="2"/>
      <x:c r="H41" s="2"/>
      <x:c r="I41" s="2"/>
      <x:c r="J41" s="2"/>
      <x:c r="K41" s="1"/>
      <x:c r="L41" s="1"/>
    </x:row>
    <x:row r="42" ht="21" customHeight="1">
      <x:c r="A42" s="1"/>
      <x:c r="B42" s="1"/>
      <x:c r="C42" s="1"/>
      <x:c r="D42" s="2"/>
      <x:c r="E42" s="2"/>
      <x:c r="F42" s="2"/>
      <x:c r="G42" s="2"/>
      <x:c r="H42" s="2"/>
      <x:c r="I42" s="2"/>
      <x:c r="J42" s="2"/>
      <x:c r="K42" s="1"/>
      <x:c r="L42" s="1"/>
    </x:row>
    <x:row r="43" ht="21" customHeight="1">
      <x:c r="A43" s="1"/>
      <x:c r="B43" s="1"/>
      <x:c r="C43" s="1"/>
      <x:c r="D43" s="2"/>
      <x:c r="E43" s="2"/>
      <x:c r="F43" s="2"/>
      <x:c r="G43" s="2"/>
      <x:c r="H43" s="2"/>
      <x:c r="I43" s="2"/>
      <x:c r="J43" s="2"/>
      <x:c r="K43" s="1"/>
      <x:c r="L43" s="1"/>
    </x:row>
    <x:row r="44" ht="21" customHeight="1">
      <x:c r="A44" s="1"/>
      <x:c r="B44" s="1"/>
      <x:c r="C44" s="1"/>
      <x:c r="D44" s="2"/>
      <x:c r="E44" s="2"/>
      <x:c r="F44" s="2"/>
      <x:c r="G44" s="2"/>
      <x:c r="H44" s="2"/>
      <x:c r="I44" s="2"/>
      <x:c r="J44" s="2"/>
      <x:c r="K44" s="1"/>
      <x:c r="L44" s="1"/>
    </x:row>
    <x:row r="45" ht="21" customHeight="1">
      <x:c r="A45" s="1"/>
      <x:c r="B45" s="1"/>
      <x:c r="C45" s="1"/>
      <x:c r="D45" s="2"/>
      <x:c r="E45" s="2"/>
      <x:c r="F45" s="2"/>
      <x:c r="G45" s="2"/>
      <x:c r="H45" s="2"/>
      <x:c r="I45" s="2"/>
      <x:c r="J45" s="2"/>
      <x:c r="K45" s="1"/>
      <x:c r="L45" s="1"/>
    </x:row>
    <x:row r="46" ht="21" customHeight="1">
      <x:c r="A46" s="1"/>
      <x:c r="B46" s="1"/>
      <x:c r="C46" s="1"/>
      <x:c r="D46" s="2"/>
      <x:c r="E46" s="2"/>
      <x:c r="F46" s="2"/>
      <x:c r="G46" s="2"/>
      <x:c r="H46" s="2"/>
      <x:c r="I46" s="2"/>
      <x:c r="J46" s="2"/>
      <x:c r="K46" s="1"/>
      <x:c r="L46" s="1"/>
    </x:row>
    <x:row r="47" ht="21" customHeight="1">
      <x:c r="A47" s="1"/>
      <x:c r="B47" s="1"/>
      <x:c r="C47" s="1"/>
      <x:c r="D47" s="2"/>
      <x:c r="E47" s="2"/>
      <x:c r="F47" s="2"/>
      <x:c r="G47" s="2"/>
      <x:c r="H47" s="2"/>
      <x:c r="I47" s="2"/>
      <x:c r="J47" s="2"/>
      <x:c r="K47" s="1"/>
      <x:c r="L47" s="1"/>
    </x:row>
    <x:row r="48" ht="21" customHeight="1">
      <x:c r="A48" s="1"/>
      <x:c r="B48" s="1"/>
      <x:c r="C48" s="1"/>
      <x:c r="D48" s="2"/>
      <x:c r="E48" s="2"/>
      <x:c r="F48" s="2"/>
      <x:c r="G48" s="2"/>
      <x:c r="H48" s="2"/>
      <x:c r="I48" s="2"/>
      <x:c r="J48" s="2"/>
      <x:c r="K48" s="1"/>
      <x:c r="L48" s="1"/>
    </x:row>
    <x:row r="49" ht="21" customHeight="1">
      <x:c r="A49" s="1"/>
      <x:c r="B49" s="1"/>
      <x:c r="C49" s="1"/>
      <x:c r="D49" s="2"/>
      <x:c r="E49" s="2"/>
      <x:c r="F49" s="2"/>
      <x:c r="G49" s="2"/>
      <x:c r="H49" s="2"/>
      <x:c r="I49" s="2"/>
      <x:c r="J49" s="2"/>
      <x:c r="K49" s="1"/>
      <x:c r="L49" s="1"/>
    </x:row>
    <x:row r="50" ht="21" customHeight="1">
      <x:c r="A50" s="1"/>
      <x:c r="B50" s="1"/>
      <x:c r="C50" s="1"/>
      <x:c r="D50" s="2"/>
      <x:c r="E50" s="2"/>
      <x:c r="F50" s="2"/>
      <x:c r="G50" s="2"/>
      <x:c r="H50" s="2"/>
      <x:c r="I50" s="2"/>
      <x:c r="J50" s="2"/>
      <x:c r="K50" s="1"/>
      <x:c r="L50" s="1"/>
    </x:row>
    <x:row r="51" ht="21" customHeight="1">
      <x:c r="A51" s="1"/>
      <x:c r="B51" s="1"/>
      <x:c r="C51" s="1"/>
      <x:c r="D51" s="2"/>
      <x:c r="E51" s="2"/>
      <x:c r="F51" s="2"/>
      <x:c r="G51" s="2"/>
      <x:c r="H51" s="2"/>
      <x:c r="I51" s="2"/>
      <x:c r="J51" s="2"/>
      <x:c r="K51" s="1"/>
      <x:c r="L51" s="1"/>
    </x:row>
    <x:row r="52" ht="21" customHeight="1">
      <x:c r="A52" s="1"/>
      <x:c r="B52" s="1"/>
      <x:c r="C52" s="1"/>
      <x:c r="D52" s="2"/>
      <x:c r="E52" s="2"/>
      <x:c r="F52" s="2"/>
      <x:c r="G52" s="2"/>
      <x:c r="H52" s="2"/>
      <x:c r="I52" s="2"/>
      <x:c r="J52" s="2"/>
      <x:c r="K52" s="1"/>
      <x:c r="L52" s="1"/>
    </x:row>
    <x:row r="53" ht="21" customHeight="1">
      <x:c r="A53" s="1"/>
      <x:c r="B53" s="1"/>
      <x:c r="C53" s="1"/>
      <x:c r="D53" s="2"/>
      <x:c r="E53" s="2"/>
      <x:c r="F53" s="2"/>
      <x:c r="G53" s="2"/>
      <x:c r="H53" s="2"/>
      <x:c r="I53" s="2"/>
      <x:c r="J53" s="2"/>
      <x:c r="K53" s="1"/>
      <x:c r="L53" s="1"/>
    </x:row>
    <x:row r="54" ht="21" customHeight="1">
      <x:c r="A54" s="1"/>
      <x:c r="B54" s="1"/>
      <x:c r="C54" s="1"/>
      <x:c r="D54" s="2"/>
      <x:c r="E54" s="2"/>
      <x:c r="F54" s="2"/>
      <x:c r="G54" s="2"/>
      <x:c r="H54" s="2"/>
      <x:c r="I54" s="2"/>
      <x:c r="J54" s="2"/>
      <x:c r="K54" s="1"/>
      <x:c r="L54" s="1"/>
    </x:row>
    <x:row r="55" ht="21" customHeight="1">
      <x:c r="A55" s="1"/>
      <x:c r="B55" s="1"/>
      <x:c r="C55" s="1"/>
      <x:c r="D55" s="2"/>
      <x:c r="E55" s="2"/>
      <x:c r="F55" s="2"/>
      <x:c r="G55" s="2"/>
      <x:c r="H55" s="2"/>
      <x:c r="I55" s="2"/>
      <x:c r="J55" s="2"/>
      <x:c r="K55" s="1"/>
      <x:c r="L55" s="1"/>
    </x:row>
    <x:row r="56" ht="21" customHeight="1">
      <x:c r="A56" s="1"/>
      <x:c r="B56" s="1"/>
      <x:c r="C56" s="1"/>
      <x:c r="D56" s="2"/>
      <x:c r="E56" s="2"/>
      <x:c r="F56" s="2"/>
      <x:c r="G56" s="2"/>
      <x:c r="H56" s="2"/>
      <x:c r="I56" s="2"/>
      <x:c r="J56" s="2"/>
      <x:c r="K56" s="1"/>
      <x:c r="L56" s="1"/>
    </x:row>
    <x:row r="57" ht="21" customHeight="1">
      <x:c r="A57" s="1"/>
      <x:c r="B57" s="1"/>
      <x:c r="C57" s="1"/>
      <x:c r="D57" s="2"/>
      <x:c r="E57" s="2"/>
      <x:c r="F57" s="2"/>
      <x:c r="G57" s="2"/>
      <x:c r="H57" s="2"/>
      <x:c r="I57" s="2"/>
      <x:c r="J57" s="2"/>
      <x:c r="K57" s="1"/>
      <x:c r="L57" s="1"/>
    </x:row>
    <x:row r="58" ht="21" customHeight="1">
      <x:c r="A58" s="1"/>
      <x:c r="B58" s="1"/>
      <x:c r="C58" s="1"/>
      <x:c r="D58" s="2"/>
      <x:c r="E58" s="2"/>
      <x:c r="F58" s="2"/>
      <x:c r="G58" s="2"/>
      <x:c r="H58" s="2"/>
      <x:c r="I58" s="2"/>
      <x:c r="J58" s="2"/>
      <x:c r="K58" s="1"/>
      <x:c r="L58" s="1"/>
    </x:row>
    <x:row r="59" ht="21" customHeight="1">
      <x:c r="A59" s="1"/>
      <x:c r="B59" s="1"/>
      <x:c r="C59" s="1"/>
      <x:c r="D59" s="2"/>
      <x:c r="E59" s="2"/>
      <x:c r="F59" s="2"/>
      <x:c r="G59" s="2"/>
      <x:c r="H59" s="2"/>
      <x:c r="I59" s="2"/>
      <x:c r="J59" s="2"/>
      <x:c r="K59" s="1"/>
      <x:c r="L59" s="1"/>
    </x:row>
    <x:row r="60" ht="21" customHeight="1">
      <x:c r="A60" s="1"/>
      <x:c r="B60" s="1"/>
      <x:c r="C60" s="1"/>
      <x:c r="D60" s="2"/>
      <x:c r="E60" s="2"/>
      <x:c r="F60" s="2"/>
      <x:c r="G60" s="2"/>
      <x:c r="H60" s="2"/>
      <x:c r="I60" s="2"/>
      <x:c r="J60" s="2"/>
      <x:c r="K60" s="1"/>
      <x:c r="L60" s="1"/>
    </x:row>
    <x:row r="61" ht="21" customHeight="1">
      <x:c r="A61" s="1"/>
      <x:c r="B61" s="1"/>
      <x:c r="C61" s="1"/>
      <x:c r="D61" s="2"/>
      <x:c r="E61" s="2"/>
      <x:c r="F61" s="2"/>
      <x:c r="G61" s="2"/>
      <x:c r="H61" s="2"/>
      <x:c r="I61" s="2"/>
      <x:c r="J61" s="2"/>
      <x:c r="K61" s="1"/>
      <x:c r="L61" s="1"/>
    </x:row>
    <x:row r="62" ht="21" customHeight="1">
      <x:c r="A62" s="1"/>
      <x:c r="B62" s="1"/>
      <x:c r="C62" s="1"/>
      <x:c r="D62" s="2"/>
      <x:c r="E62" s="2"/>
      <x:c r="F62" s="2"/>
      <x:c r="G62" s="2"/>
      <x:c r="H62" s="2"/>
      <x:c r="I62" s="2"/>
      <x:c r="J62" s="2"/>
      <x:c r="K62" s="1"/>
      <x:c r="L62" s="1"/>
    </x:row>
    <x:row r="63" ht="21" customHeight="1">
      <x:c r="A63" s="1"/>
      <x:c r="B63" s="1"/>
      <x:c r="C63" s="1"/>
      <x:c r="D63" s="2"/>
      <x:c r="E63" s="2"/>
      <x:c r="F63" s="2"/>
      <x:c r="G63" s="2"/>
      <x:c r="H63" s="2"/>
      <x:c r="I63" s="2"/>
      <x:c r="J63" s="2"/>
      <x:c r="K63" s="1"/>
      <x:c r="L63" s="1"/>
    </x:row>
    <x:row r="64" ht="21" customHeight="1">
      <x:c r="A64" s="1"/>
      <x:c r="B64" s="1"/>
      <x:c r="C64" s="1"/>
      <x:c r="D64" s="2"/>
      <x:c r="E64" s="2"/>
      <x:c r="F64" s="2"/>
      <x:c r="G64" s="2"/>
      <x:c r="H64" s="2"/>
      <x:c r="I64" s="2"/>
      <x:c r="J64" s="2"/>
      <x:c r="K64" s="1"/>
      <x:c r="L64" s="1"/>
    </x:row>
    <x:row r="65" ht="21" customHeight="1">
      <x:c r="A65" s="1"/>
      <x:c r="B65" s="1"/>
      <x:c r="C65" s="1"/>
      <x:c r="D65" s="2"/>
      <x:c r="E65" s="2"/>
      <x:c r="F65" s="2"/>
      <x:c r="G65" s="2"/>
      <x:c r="H65" s="2"/>
      <x:c r="I65" s="2"/>
      <x:c r="J65" s="2"/>
      <x:c r="K65" s="1"/>
      <x:c r="L65" s="1"/>
    </x:row>
    <x:row r="66" ht="21" customHeight="1">
      <x:c r="A66" s="1"/>
      <x:c r="B66" s="1"/>
      <x:c r="C66" s="1"/>
      <x:c r="D66" s="2"/>
      <x:c r="E66" s="2"/>
      <x:c r="F66" s="2"/>
      <x:c r="G66" s="2"/>
      <x:c r="H66" s="2"/>
      <x:c r="I66" s="2"/>
      <x:c r="J66" s="2"/>
      <x:c r="K66" s="1"/>
      <x:c r="L66" s="1"/>
    </x:row>
    <x:row r="67" ht="21" customHeight="1">
      <x:c r="A67" s="1"/>
      <x:c r="B67" s="1"/>
      <x:c r="C67" s="1"/>
      <x:c r="D67" s="2"/>
      <x:c r="E67" s="2"/>
      <x:c r="F67" s="2"/>
      <x:c r="G67" s="2"/>
      <x:c r="H67" s="2"/>
      <x:c r="I67" s="2"/>
      <x:c r="J67" s="2"/>
      <x:c r="K67" s="1"/>
      <x:c r="L67" s="1"/>
    </x:row>
    <x:row r="68" ht="21" customHeight="1">
      <x:c r="A68" s="1"/>
      <x:c r="B68" s="1"/>
      <x:c r="C68" s="1"/>
      <x:c r="D68" s="2"/>
      <x:c r="E68" s="2"/>
      <x:c r="F68" s="2"/>
      <x:c r="G68" s="2"/>
      <x:c r="H68" s="2"/>
      <x:c r="I68" s="2"/>
      <x:c r="J68" s="2"/>
      <x:c r="K68" s="1"/>
      <x:c r="L68" s="1"/>
    </x:row>
    <x:row r="69" ht="21" customHeight="1">
      <x:c r="A69" s="1"/>
      <x:c r="B69" s="1"/>
      <x:c r="C69" s="1"/>
      <x:c r="D69" s="2"/>
      <x:c r="E69" s="2"/>
      <x:c r="F69" s="2"/>
      <x:c r="G69" s="2"/>
      <x:c r="H69" s="2"/>
      <x:c r="I69" s="2"/>
      <x:c r="J69" s="2"/>
      <x:c r="K69" s="1"/>
      <x:c r="L69" s="1"/>
    </x:row>
    <x:row r="70" ht="21" customHeight="1">
      <x:c r="A70" s="1"/>
      <x:c r="B70" s="1"/>
      <x:c r="C70" s="1"/>
      <x:c r="D70" s="2"/>
      <x:c r="E70" s="2"/>
      <x:c r="F70" s="2"/>
      <x:c r="G70" s="2"/>
      <x:c r="H70" s="2"/>
      <x:c r="I70" s="2"/>
      <x:c r="J70" s="2"/>
      <x:c r="K70" s="1"/>
      <x:c r="L70" s="1"/>
    </x:row>
    <x:row r="71" ht="21" customHeight="1">
      <x:c r="A71" s="1"/>
      <x:c r="B71" s="1"/>
      <x:c r="C71" s="1"/>
      <x:c r="D71" s="2"/>
      <x:c r="E71" s="2"/>
      <x:c r="F71" s="2"/>
      <x:c r="G71" s="2"/>
      <x:c r="H71" s="2"/>
      <x:c r="I71" s="2"/>
      <x:c r="J71" s="2"/>
      <x:c r="K71" s="1"/>
      <x:c r="L71" s="1"/>
    </x:row>
    <x:row r="72" ht="21" customHeight="1">
      <x:c r="A72" s="1"/>
      <x:c r="B72" s="1"/>
      <x:c r="C72" s="1"/>
      <x:c r="D72" s="2"/>
      <x:c r="E72" s="2"/>
      <x:c r="F72" s="2"/>
      <x:c r="G72" s="2"/>
      <x:c r="H72" s="2"/>
      <x:c r="I72" s="2"/>
      <x:c r="J72" s="2"/>
      <x:c r="K72" s="1"/>
      <x:c r="L72" s="1"/>
    </x:row>
    <x:row r="73" ht="21" customHeight="1">
      <x:c r="A73" s="1"/>
      <x:c r="B73" s="1"/>
      <x:c r="C73" s="1"/>
      <x:c r="D73" s="2"/>
      <x:c r="E73" s="2"/>
      <x:c r="F73" s="2"/>
      <x:c r="G73" s="2"/>
      <x:c r="H73" s="2"/>
      <x:c r="I73" s="2"/>
      <x:c r="J73" s="2"/>
      <x:c r="K73" s="1"/>
      <x:c r="L73" s="1"/>
    </x:row>
    <x:row r="74" ht="21" customHeight="1">
      <x:c r="A74" s="1"/>
      <x:c r="B74" s="1"/>
      <x:c r="C74" s="1"/>
      <x:c r="D74" s="2"/>
      <x:c r="E74" s="2"/>
      <x:c r="F74" s="2"/>
      <x:c r="G74" s="2"/>
      <x:c r="H74" s="2"/>
      <x:c r="I74" s="2"/>
      <x:c r="J74" s="2"/>
      <x:c r="K74" s="1"/>
      <x:c r="L74" s="1"/>
    </x:row>
    <x:row r="75" ht="21" customHeight="1">
      <x:c r="A75" s="1"/>
      <x:c r="B75" s="1"/>
      <x:c r="C75" s="1"/>
      <x:c r="D75" s="2"/>
      <x:c r="E75" s="2"/>
      <x:c r="F75" s="2"/>
      <x:c r="G75" s="2"/>
      <x:c r="H75" s="2"/>
      <x:c r="I75" s="2"/>
      <x:c r="J75" s="2"/>
      <x:c r="K75" s="1"/>
      <x:c r="L75" s="1"/>
    </x:row>
    <x:row r="76" ht="21" customHeight="1">
      <x:c r="A76" s="1"/>
      <x:c r="B76" s="1"/>
      <x:c r="C76" s="1"/>
      <x:c r="D76" s="2"/>
      <x:c r="E76" s="2"/>
      <x:c r="F76" s="2"/>
      <x:c r="G76" s="2"/>
      <x:c r="H76" s="2"/>
      <x:c r="I76" s="2"/>
      <x:c r="J76" s="2"/>
      <x:c r="K76" s="1"/>
      <x:c r="L76" s="1"/>
    </x:row>
    <x:row r="77" ht="21" customHeight="1">
      <x:c r="A77" s="1"/>
      <x:c r="B77" s="1"/>
      <x:c r="C77" s="1"/>
      <x:c r="D77" s="2"/>
      <x:c r="E77" s="2"/>
      <x:c r="F77" s="2"/>
      <x:c r="G77" s="2"/>
      <x:c r="H77" s="2"/>
      <x:c r="I77" s="2"/>
      <x:c r="J77" s="2"/>
      <x:c r="K77" s="1"/>
      <x:c r="L77" s="1"/>
    </x:row>
    <x:row r="78" ht="21" customHeight="1">
      <x:c r="A78" s="1"/>
      <x:c r="B78" s="1"/>
      <x:c r="C78" s="1"/>
      <x:c r="D78" s="2"/>
      <x:c r="E78" s="2"/>
      <x:c r="F78" s="2"/>
      <x:c r="G78" s="2"/>
      <x:c r="H78" s="2"/>
      <x:c r="I78" s="2"/>
      <x:c r="J78" s="2"/>
      <x:c r="K78" s="1"/>
      <x:c r="L78" s="1"/>
    </x:row>
    <x:row r="79" ht="21" customHeight="1">
      <x:c r="A79" s="1"/>
      <x:c r="B79" s="1"/>
      <x:c r="C79" s="1"/>
      <x:c r="D79" s="2"/>
      <x:c r="E79" s="2"/>
      <x:c r="F79" s="2"/>
      <x:c r="G79" s="2"/>
      <x:c r="H79" s="2"/>
      <x:c r="I79" s="2"/>
      <x:c r="J79" s="2"/>
      <x:c r="K79" s="1"/>
      <x:c r="L79" s="1"/>
    </x:row>
    <x:row r="80" ht="21" customHeight="1">
      <x:c r="A80" s="1"/>
      <x:c r="B80" s="1"/>
      <x:c r="C80" s="1"/>
      <x:c r="D80" s="2"/>
      <x:c r="E80" s="2"/>
      <x:c r="F80" s="2"/>
      <x:c r="G80" s="2"/>
      <x:c r="H80" s="2"/>
      <x:c r="I80" s="2"/>
      <x:c r="J80" s="2"/>
      <x:c r="K80" s="1"/>
      <x:c r="L80" s="1"/>
    </x:row>
    <x:row r="81" ht="21" customHeight="1">
      <x:c r="A81" s="1"/>
      <x:c r="B81" s="1"/>
      <x:c r="C81" s="1"/>
      <x:c r="D81" s="2"/>
      <x:c r="E81" s="2"/>
      <x:c r="F81" s="2"/>
      <x:c r="G81" s="2"/>
      <x:c r="H81" s="2"/>
      <x:c r="I81" s="2"/>
      <x:c r="J81" s="2"/>
      <x:c r="K81" s="1"/>
      <x:c r="L81" s="1"/>
    </x:row>
    <x:row r="82" ht="21" customHeight="1">
      <x:c r="A82" s="1"/>
      <x:c r="B82" s="1"/>
      <x:c r="C82" s="1"/>
      <x:c r="D82" s="2"/>
      <x:c r="E82" s="2"/>
      <x:c r="F82" s="2"/>
      <x:c r="G82" s="2"/>
      <x:c r="H82" s="2"/>
      <x:c r="I82" s="2"/>
      <x:c r="J82" s="2"/>
      <x:c r="K82" s="1"/>
      <x:c r="L82" s="1"/>
    </x:row>
    <x:row r="83" ht="21" customHeight="1">
      <x:c r="A83" s="1"/>
      <x:c r="B83" s="1"/>
      <x:c r="C83" s="1"/>
      <x:c r="D83" s="2"/>
      <x:c r="E83" s="2"/>
      <x:c r="F83" s="2"/>
      <x:c r="G83" s="2"/>
      <x:c r="H83" s="2"/>
      <x:c r="I83" s="2"/>
      <x:c r="J83" s="2"/>
      <x:c r="K83" s="1"/>
      <x:c r="L83" s="1"/>
    </x:row>
    <x:row r="84" ht="21" customHeight="1">
      <x:c r="A84" s="1"/>
      <x:c r="B84" s="1"/>
      <x:c r="C84" s="1"/>
      <x:c r="D84" s="2"/>
      <x:c r="E84" s="2"/>
      <x:c r="F84" s="2"/>
      <x:c r="G84" s="2"/>
      <x:c r="H84" s="2"/>
      <x:c r="I84" s="2"/>
      <x:c r="J84" s="2"/>
      <x:c r="K84" s="1"/>
      <x:c r="L84" s="1"/>
    </x:row>
    <x:row r="85" ht="21" customHeight="1">
      <x:c r="A85" s="1"/>
      <x:c r="B85" s="1"/>
      <x:c r="C85" s="1"/>
      <x:c r="D85" s="2"/>
      <x:c r="E85" s="2"/>
      <x:c r="F85" s="2"/>
      <x:c r="G85" s="2"/>
      <x:c r="H85" s="2"/>
      <x:c r="I85" s="2"/>
      <x:c r="J85" s="2"/>
      <x:c r="K85" s="1"/>
      <x:c r="L85" s="1"/>
    </x:row>
    <x:row r="86" ht="21" customHeight="1">
      <x:c r="A86" s="1"/>
      <x:c r="B86" s="1"/>
      <x:c r="C86" s="1"/>
      <x:c r="D86" s="2"/>
      <x:c r="E86" s="2"/>
      <x:c r="F86" s="2"/>
      <x:c r="G86" s="2"/>
      <x:c r="H86" s="2"/>
      <x:c r="I86" s="2"/>
      <x:c r="J86" s="2"/>
      <x:c r="K86" s="1"/>
      <x:c r="L86" s="1"/>
    </x:row>
    <x:row r="87" ht="21" customHeight="1">
      <x:c r="A87" s="1"/>
      <x:c r="B87" s="1"/>
      <x:c r="C87" s="1"/>
      <x:c r="D87" s="2"/>
      <x:c r="E87" s="2"/>
      <x:c r="F87" s="2"/>
      <x:c r="G87" s="2"/>
      <x:c r="H87" s="2"/>
      <x:c r="I87" s="2"/>
      <x:c r="J87" s="2"/>
      <x:c r="K87" s="1"/>
      <x:c r="L87" s="1"/>
    </x:row>
    <x:row r="88" ht="21" customHeight="1">
      <x:c r="A88" s="1"/>
      <x:c r="B88" s="1"/>
      <x:c r="C88" s="1"/>
      <x:c r="D88" s="2"/>
      <x:c r="E88" s="2"/>
      <x:c r="F88" s="2"/>
      <x:c r="G88" s="2"/>
      <x:c r="H88" s="2"/>
      <x:c r="I88" s="2"/>
      <x:c r="J88" s="2"/>
      <x:c r="K88" s="1"/>
      <x:c r="L88" s="1"/>
    </x:row>
    <x:row r="89" ht="21" customHeight="1">
      <x:c r="A89" s="1"/>
      <x:c r="B89" s="1"/>
      <x:c r="C89" s="1"/>
      <x:c r="D89" s="2"/>
      <x:c r="E89" s="2"/>
      <x:c r="F89" s="2"/>
      <x:c r="G89" s="2"/>
      <x:c r="H89" s="2"/>
      <x:c r="I89" s="2"/>
      <x:c r="J89" s="2"/>
      <x:c r="K89" s="1"/>
      <x:c r="L89" s="1"/>
    </x:row>
    <x:row r="90" ht="21" customHeight="1">
      <x:c r="A90" s="1"/>
      <x:c r="B90" s="1"/>
      <x:c r="C90" s="1"/>
      <x:c r="D90" s="2"/>
      <x:c r="E90" s="2"/>
      <x:c r="F90" s="2"/>
      <x:c r="G90" s="2"/>
      <x:c r="H90" s="2"/>
      <x:c r="I90" s="2"/>
      <x:c r="J90" s="2"/>
      <x:c r="K90" s="1"/>
      <x:c r="L90" s="1"/>
    </x:row>
    <x:row r="91" ht="21" customHeight="1">
      <x:c r="A91" s="1"/>
      <x:c r="B91" s="1"/>
      <x:c r="C91" s="1"/>
      <x:c r="D91" s="2"/>
      <x:c r="E91" s="2"/>
      <x:c r="F91" s="2"/>
      <x:c r="G91" s="2"/>
      <x:c r="H91" s="2"/>
      <x:c r="I91" s="2"/>
      <x:c r="J91" s="2"/>
      <x:c r="K91" s="1"/>
      <x:c r="L91" s="1"/>
    </x:row>
    <x:row r="92" ht="21" customHeight="1">
      <x:c r="A92" s="1"/>
      <x:c r="B92" s="1"/>
      <x:c r="C92" s="1"/>
      <x:c r="D92" s="2"/>
      <x:c r="E92" s="2"/>
      <x:c r="F92" s="2"/>
      <x:c r="G92" s="2"/>
      <x:c r="H92" s="2"/>
      <x:c r="I92" s="2"/>
      <x:c r="J92" s="2"/>
      <x:c r="K92" s="1"/>
      <x:c r="L92" s="1"/>
    </x:row>
    <x:row r="93" ht="21" customHeight="1">
      <x:c r="A93" s="1"/>
      <x:c r="B93" s="1"/>
      <x:c r="C93" s="1"/>
      <x:c r="D93" s="2"/>
      <x:c r="E93" s="2"/>
      <x:c r="F93" s="2"/>
      <x:c r="G93" s="2"/>
      <x:c r="H93" s="2"/>
      <x:c r="I93" s="2"/>
      <x:c r="J93" s="2"/>
      <x:c r="K93" s="1"/>
      <x:c r="L93" s="1"/>
    </x:row>
    <x:row r="94" ht="21" customHeight="1">
      <x:c r="A94" s="1"/>
      <x:c r="B94" s="1"/>
      <x:c r="C94" s="1"/>
      <x:c r="D94" s="2"/>
      <x:c r="E94" s="2"/>
      <x:c r="F94" s="2"/>
      <x:c r="G94" s="2"/>
      <x:c r="H94" s="2"/>
      <x:c r="I94" s="2"/>
      <x:c r="J94" s="2"/>
      <x:c r="K94" s="1"/>
      <x:c r="L94" s="1"/>
    </x:row>
    <x:row r="95" ht="21" customHeight="1">
      <x:c r="A95" s="1"/>
      <x:c r="B95" s="1"/>
      <x:c r="C95" s="1"/>
      <x:c r="D95" s="2"/>
      <x:c r="E95" s="2"/>
      <x:c r="F95" s="2"/>
      <x:c r="G95" s="2"/>
      <x:c r="H95" s="2"/>
      <x:c r="I95" s="2"/>
      <x:c r="J95" s="2"/>
      <x:c r="K95" s="1"/>
      <x:c r="L95" s="1"/>
    </x:row>
    <x:row r="96" ht="21" customHeight="1">
      <x:c r="A96" s="1"/>
      <x:c r="B96" s="1"/>
      <x:c r="C96" s="1"/>
      <x:c r="D96" s="2"/>
      <x:c r="E96" s="2"/>
      <x:c r="F96" s="2"/>
      <x:c r="G96" s="2"/>
      <x:c r="H96" s="2"/>
      <x:c r="I96" s="2"/>
      <x:c r="J96" s="2"/>
      <x:c r="K96" s="1"/>
      <x:c r="L96" s="1"/>
    </x:row>
    <x:row r="97" ht="21" customHeight="1">
      <x:c r="A97" s="1"/>
      <x:c r="B97" s="1"/>
      <x:c r="C97" s="1"/>
      <x:c r="D97" s="2"/>
      <x:c r="E97" s="2"/>
      <x:c r="F97" s="2"/>
      <x:c r="G97" s="2"/>
      <x:c r="H97" s="2"/>
      <x:c r="I97" s="2"/>
      <x:c r="J97" s="2"/>
      <x:c r="K97" s="1"/>
      <x:c r="L97" s="1"/>
    </x:row>
    <x:row r="98" ht="21" customHeight="1">
      <x:c r="A98" s="1"/>
      <x:c r="B98" s="1"/>
      <x:c r="C98" s="1"/>
      <x:c r="D98" s="2"/>
      <x:c r="E98" s="2"/>
      <x:c r="F98" s="2"/>
      <x:c r="G98" s="2"/>
      <x:c r="H98" s="2"/>
      <x:c r="I98" s="2"/>
      <x:c r="J98" s="2"/>
      <x:c r="K98" s="1"/>
      <x:c r="L98" s="1"/>
    </x:row>
    <x:row r="99" ht="21" customHeight="1">
      <x:c r="A99" s="1"/>
      <x:c r="B99" s="1"/>
      <x:c r="C99" s="1"/>
      <x:c r="D99" s="2"/>
      <x:c r="E99" s="2"/>
      <x:c r="F99" s="2"/>
      <x:c r="G99" s="2"/>
      <x:c r="H99" s="2"/>
      <x:c r="I99" s="2"/>
      <x:c r="J99" s="2"/>
      <x:c r="K99" s="1"/>
      <x:c r="L99" s="1"/>
    </x:row>
    <x:row r="100" ht="21" customHeight="1">
      <x:c r="A100" s="1"/>
      <x:c r="B100" s="1"/>
      <x:c r="C100" s="1"/>
      <x:c r="D100" s="2"/>
      <x:c r="E100" s="2"/>
      <x:c r="F100" s="2"/>
      <x:c r="G100" s="2"/>
      <x:c r="H100" s="2"/>
      <x:c r="I100" s="2"/>
      <x:c r="J100" s="2"/>
      <x:c r="K100" s="1"/>
      <x:c r="L100" s="1"/>
    </x:row>
    <x:row r="101" ht="21" customHeight="1">
      <x:c r="A101" s="1"/>
      <x:c r="B101" s="1"/>
      <x:c r="C101" s="1"/>
      <x:c r="D101" s="2"/>
      <x:c r="E101" s="2"/>
      <x:c r="F101" s="2"/>
      <x:c r="G101" s="2"/>
      <x:c r="H101" s="2"/>
      <x:c r="I101" s="2"/>
      <x:c r="J101" s="2"/>
      <x:c r="K101" s="1"/>
      <x:c r="L101" s="1"/>
    </x:row>
    <x:row r="102" ht="21" customHeight="1">
      <x:c r="A102" s="1"/>
      <x:c r="B102" s="1"/>
      <x:c r="C102" s="1"/>
      <x:c r="D102" s="2"/>
      <x:c r="E102" s="2"/>
      <x:c r="F102" s="2"/>
      <x:c r="G102" s="2"/>
      <x:c r="H102" s="2"/>
      <x:c r="I102" s="2"/>
      <x:c r="J102" s="2"/>
      <x:c r="K102" s="1"/>
      <x:c r="L102" s="1"/>
    </x:row>
    <x:row r="103" ht="21" customHeight="1">
      <x:c r="A103" s="1"/>
      <x:c r="B103" s="1"/>
      <x:c r="C103" s="1"/>
      <x:c r="D103" s="2"/>
      <x:c r="E103" s="2"/>
      <x:c r="F103" s="2"/>
      <x:c r="G103" s="2"/>
      <x:c r="H103" s="2"/>
      <x:c r="I103" s="2"/>
      <x:c r="J103" s="2"/>
      <x:c r="K103" s="1"/>
      <x:c r="L103" s="1"/>
    </x:row>
    <x:row r="104" ht="21" customHeight="1">
      <x:c r="A104" s="1"/>
      <x:c r="B104" s="1"/>
      <x:c r="C104" s="1"/>
      <x:c r="D104" s="2"/>
      <x:c r="E104" s="2"/>
      <x:c r="F104" s="2"/>
      <x:c r="G104" s="2"/>
      <x:c r="H104" s="2"/>
      <x:c r="I104" s="2"/>
      <x:c r="J104" s="2"/>
      <x:c r="K104" s="1"/>
      <x:c r="L104" s="1"/>
    </x:row>
    <x:row r="105" ht="21" customHeight="1">
      <x:c r="A105" s="1"/>
      <x:c r="B105" s="1"/>
      <x:c r="C105" s="1"/>
      <x:c r="D105" s="2"/>
      <x:c r="E105" s="2"/>
      <x:c r="F105" s="2"/>
      <x:c r="G105" s="2"/>
      <x:c r="H105" s="2"/>
      <x:c r="I105" s="2"/>
      <x:c r="J105" s="2"/>
      <x:c r="K105" s="1"/>
      <x:c r="L105" s="1"/>
    </x:row>
    <x:row r="106" ht="21" customHeight="1">
      <x:c r="A106" s="1"/>
      <x:c r="B106" s="1"/>
      <x:c r="C106" s="1"/>
      <x:c r="D106" s="2"/>
      <x:c r="E106" s="2"/>
      <x:c r="F106" s="2"/>
      <x:c r="G106" s="2"/>
      <x:c r="H106" s="2"/>
      <x:c r="I106" s="2"/>
      <x:c r="J106" s="2"/>
      <x:c r="K106" s="1"/>
      <x:c r="L106" s="1"/>
    </x:row>
    <x:row r="107" ht="21" customHeight="1">
      <x:c r="A107" s="1"/>
      <x:c r="B107" s="1"/>
      <x:c r="C107" s="1"/>
      <x:c r="D107" s="2"/>
      <x:c r="E107" s="2"/>
      <x:c r="F107" s="2"/>
      <x:c r="G107" s="2"/>
      <x:c r="H107" s="2"/>
      <x:c r="I107" s="2"/>
      <x:c r="J107" s="2"/>
      <x:c r="K107" s="1"/>
      <x:c r="L107" s="1"/>
    </x:row>
    <x:row r="108" ht="21" customHeight="1">
      <x:c r="A108" s="1"/>
      <x:c r="B108" s="1"/>
      <x:c r="C108" s="1"/>
      <x:c r="D108" s="2"/>
      <x:c r="E108" s="2"/>
      <x:c r="F108" s="2"/>
      <x:c r="G108" s="2"/>
      <x:c r="H108" s="2"/>
      <x:c r="I108" s="2"/>
      <x:c r="J108" s="2"/>
      <x:c r="K108" s="1"/>
      <x:c r="L108" s="1"/>
    </x:row>
    <x:row r="109" ht="21" customHeight="1">
      <x:c r="A109" s="1"/>
      <x:c r="B109" s="1"/>
      <x:c r="C109" s="1"/>
      <x:c r="D109" s="2"/>
      <x:c r="E109" s="2"/>
      <x:c r="F109" s="2"/>
      <x:c r="G109" s="2"/>
      <x:c r="H109" s="2"/>
      <x:c r="I109" s="2"/>
      <x:c r="J109" s="2"/>
      <x:c r="K109" s="1"/>
      <x:c r="L109" s="1"/>
    </x:row>
    <x:row r="110" ht="21" customHeight="1">
      <x:c r="A110" s="1"/>
      <x:c r="B110" s="1"/>
      <x:c r="C110" s="1"/>
      <x:c r="D110" s="2"/>
      <x:c r="E110" s="2"/>
      <x:c r="F110" s="2"/>
      <x:c r="G110" s="2"/>
      <x:c r="H110" s="2"/>
      <x:c r="I110" s="2"/>
      <x:c r="J110" s="2"/>
      <x:c r="K110" s="1"/>
      <x:c r="L110" s="1"/>
    </x:row>
    <x:row r="111" ht="21" customHeight="1">
      <x:c r="A111" s="1"/>
      <x:c r="B111" s="1"/>
      <x:c r="C111" s="1"/>
      <x:c r="D111" s="2"/>
      <x:c r="E111" s="2"/>
      <x:c r="F111" s="2"/>
      <x:c r="G111" s="2"/>
      <x:c r="H111" s="2"/>
      <x:c r="I111" s="2"/>
      <x:c r="J111" s="2"/>
      <x:c r="K111" s="1"/>
      <x:c r="L111" s="1"/>
    </x:row>
    <x:row r="112" ht="21" customHeight="1">
      <x:c r="A112" s="1"/>
      <x:c r="B112" s="1"/>
      <x:c r="C112" s="1"/>
      <x:c r="D112" s="2"/>
      <x:c r="E112" s="2"/>
      <x:c r="F112" s="2"/>
      <x:c r="G112" s="2"/>
      <x:c r="H112" s="2"/>
      <x:c r="I112" s="2"/>
      <x:c r="J112" s="2"/>
      <x:c r="K112" s="1"/>
      <x:c r="L112" s="1"/>
    </x:row>
    <x:row r="113" ht="21" customHeight="1">
      <x:c r="A113" s="1"/>
      <x:c r="B113" s="1"/>
      <x:c r="C113" s="1"/>
      <x:c r="D113" s="2"/>
      <x:c r="E113" s="2"/>
      <x:c r="F113" s="2"/>
      <x:c r="G113" s="2"/>
      <x:c r="H113" s="2"/>
      <x:c r="I113" s="2"/>
      <x:c r="J113" s="2"/>
      <x:c r="K113" s="1"/>
      <x:c r="L113" s="1"/>
    </x:row>
    <x:row r="114" ht="21" customHeight="1">
      <x:c r="A114" s="1"/>
      <x:c r="B114" s="1"/>
      <x:c r="C114" s="1"/>
      <x:c r="D114" s="2"/>
      <x:c r="E114" s="2"/>
      <x:c r="F114" s="2"/>
      <x:c r="G114" s="2"/>
      <x:c r="H114" s="2"/>
      <x:c r="I114" s="2"/>
      <x:c r="J114" s="2"/>
      <x:c r="K114" s="1"/>
      <x:c r="L114" s="1"/>
    </x:row>
    <x:row r="115" ht="21" customHeight="1">
      <x:c r="A115" s="1"/>
      <x:c r="B115" s="1"/>
      <x:c r="C115" s="1"/>
      <x:c r="D115" s="2"/>
      <x:c r="E115" s="2"/>
      <x:c r="F115" s="2"/>
      <x:c r="G115" s="2"/>
      <x:c r="H115" s="2"/>
      <x:c r="I115" s="2"/>
      <x:c r="J115" s="2"/>
      <x:c r="K115" s="1"/>
      <x:c r="L115" s="1"/>
    </x:row>
    <x:row r="116" ht="21" customHeight="1">
      <x:c r="A116" s="1"/>
      <x:c r="B116" s="1"/>
      <x:c r="C116" s="1"/>
      <x:c r="D116" s="2"/>
      <x:c r="E116" s="2"/>
      <x:c r="F116" s="2"/>
      <x:c r="G116" s="2"/>
      <x:c r="H116" s="2"/>
      <x:c r="I116" s="2"/>
      <x:c r="J116" s="2"/>
      <x:c r="K116" s="1"/>
      <x:c r="L116" s="1"/>
    </x:row>
    <x:row r="117" ht="21" customHeight="1">
      <x:c r="A117" s="1"/>
      <x:c r="B117" s="1"/>
      <x:c r="C117" s="1"/>
      <x:c r="D117" s="2"/>
      <x:c r="E117" s="2"/>
      <x:c r="F117" s="2"/>
      <x:c r="G117" s="2"/>
      <x:c r="H117" s="2"/>
      <x:c r="I117" s="2"/>
      <x:c r="J117" s="2"/>
      <x:c r="K117" s="1"/>
      <x:c r="L117" s="1"/>
    </x:row>
    <x:row r="118" ht="21" customHeight="1">
      <x:c r="A118" s="1"/>
      <x:c r="B118" s="1"/>
      <x:c r="C118" s="1"/>
      <x:c r="D118" s="2"/>
      <x:c r="E118" s="2"/>
      <x:c r="F118" s="2"/>
      <x:c r="G118" s="2"/>
      <x:c r="H118" s="2"/>
      <x:c r="I118" s="2"/>
      <x:c r="J118" s="2"/>
      <x:c r="K118" s="1"/>
      <x:c r="L118" s="1"/>
    </x:row>
    <x:row r="119" ht="21" customHeight="1">
      <x:c r="A119" s="1"/>
      <x:c r="B119" s="1"/>
      <x:c r="C119" s="1"/>
      <x:c r="D119" s="2"/>
      <x:c r="E119" s="2"/>
      <x:c r="F119" s="2"/>
      <x:c r="G119" s="2"/>
      <x:c r="H119" s="2"/>
      <x:c r="I119" s="2"/>
      <x:c r="J119" s="2"/>
      <x:c r="K119" s="1"/>
      <x:c r="L119" s="1"/>
    </x:row>
    <x:row r="120" ht="21" customHeight="1">
      <x:c r="A120" s="1"/>
      <x:c r="B120" s="1"/>
      <x:c r="C120" s="1"/>
      <x:c r="D120" s="2"/>
      <x:c r="E120" s="2"/>
      <x:c r="F120" s="2"/>
      <x:c r="G120" s="2"/>
      <x:c r="H120" s="2"/>
      <x:c r="I120" s="2"/>
      <x:c r="J120" s="2"/>
      <x:c r="K120" s="1"/>
      <x:c r="L120" s="1"/>
    </x:row>
    <x:row r="121" ht="21" customHeight="1">
      <x:c r="A121" s="1"/>
      <x:c r="B121" s="1"/>
      <x:c r="C121" s="1"/>
      <x:c r="D121" s="2"/>
      <x:c r="E121" s="2"/>
      <x:c r="F121" s="2"/>
      <x:c r="G121" s="2"/>
      <x:c r="H121" s="2"/>
      <x:c r="I121" s="2"/>
      <x:c r="J121" s="2"/>
      <x:c r="K121" s="1"/>
      <x:c r="L121" s="1"/>
    </x:row>
    <x:row r="122" ht="21" customHeight="1">
      <x:c r="A122" s="1"/>
      <x:c r="B122" s="1"/>
      <x:c r="C122" s="1"/>
      <x:c r="D122" s="2"/>
      <x:c r="E122" s="2"/>
      <x:c r="F122" s="2"/>
      <x:c r="G122" s="2"/>
      <x:c r="H122" s="2"/>
      <x:c r="I122" s="2"/>
      <x:c r="J122" s="2"/>
      <x:c r="K122" s="1"/>
      <x:c r="L122" s="1"/>
    </x:row>
    <x:row r="123" ht="21" customHeight="1">
      <x:c r="A123" s="1"/>
      <x:c r="B123" s="1"/>
      <x:c r="C123" s="1"/>
      <x:c r="D123" s="2"/>
      <x:c r="E123" s="2"/>
      <x:c r="F123" s="2"/>
      <x:c r="G123" s="2"/>
      <x:c r="H123" s="2"/>
      <x:c r="I123" s="2"/>
      <x:c r="J123" s="2"/>
      <x:c r="K123" s="1"/>
      <x:c r="L123" s="1"/>
    </x:row>
    <x:row r="124" ht="21" customHeight="1">
      <x:c r="A124" s="1"/>
      <x:c r="B124" s="1"/>
      <x:c r="C124" s="1"/>
      <x:c r="D124" s="2"/>
      <x:c r="E124" s="2"/>
      <x:c r="F124" s="2"/>
      <x:c r="G124" s="2"/>
      <x:c r="H124" s="2"/>
      <x:c r="I124" s="2"/>
      <x:c r="J124" s="2"/>
      <x:c r="K124" s="1"/>
      <x:c r="L124" s="1"/>
    </x:row>
    <x:row r="125" ht="21" customHeight="1">
      <x:c r="A125" s="1"/>
      <x:c r="B125" s="1"/>
      <x:c r="C125" s="1"/>
      <x:c r="D125" s="2"/>
      <x:c r="E125" s="2"/>
      <x:c r="F125" s="2"/>
      <x:c r="G125" s="2"/>
      <x:c r="H125" s="2"/>
      <x:c r="I125" s="2"/>
      <x:c r="J125" s="2"/>
      <x:c r="K125" s="1"/>
      <x:c r="L125" s="1"/>
    </x:row>
    <x:row r="126" ht="21" customHeight="1">
      <x:c r="A126" s="1"/>
      <x:c r="B126" s="1"/>
      <x:c r="C126" s="1"/>
      <x:c r="D126" s="2"/>
      <x:c r="E126" s="2"/>
      <x:c r="F126" s="2"/>
      <x:c r="G126" s="2"/>
      <x:c r="H126" s="2"/>
      <x:c r="I126" s="2"/>
      <x:c r="J126" s="2"/>
      <x:c r="K126" s="1"/>
      <x:c r="L126" s="1"/>
    </x:row>
    <x:row r="127" ht="21" customHeight="1">
      <x:c r="A127" s="1"/>
      <x:c r="B127" s="1"/>
      <x:c r="C127" s="1"/>
      <x:c r="D127" s="2"/>
      <x:c r="E127" s="2"/>
      <x:c r="F127" s="2"/>
      <x:c r="G127" s="2"/>
      <x:c r="H127" s="2"/>
      <x:c r="I127" s="2"/>
      <x:c r="J127" s="2"/>
      <x:c r="K127" s="1"/>
      <x:c r="L127" s="1"/>
    </x:row>
    <x:row r="128" ht="21" customHeight="1">
      <x:c r="A128" s="1"/>
      <x:c r="B128" s="1"/>
      <x:c r="C128" s="1"/>
      <x:c r="D128" s="2"/>
      <x:c r="E128" s="2"/>
      <x:c r="F128" s="2"/>
      <x:c r="G128" s="2"/>
      <x:c r="H128" s="2"/>
      <x:c r="I128" s="2"/>
      <x:c r="J128" s="2"/>
      <x:c r="K128" s="1"/>
      <x:c r="L128" s="1"/>
    </x:row>
    <x:row r="129" ht="21" customHeight="1">
      <x:c r="A129" s="1"/>
      <x:c r="B129" s="1"/>
      <x:c r="C129" s="1"/>
      <x:c r="D129" s="2"/>
      <x:c r="E129" s="2"/>
      <x:c r="F129" s="2"/>
      <x:c r="G129" s="2"/>
      <x:c r="H129" s="2"/>
      <x:c r="I129" s="2"/>
      <x:c r="J129" s="2"/>
      <x:c r="K129" s="1"/>
      <x:c r="L129" s="1"/>
    </x:row>
    <x:row r="130" ht="21" customHeight="1">
      <x:c r="A130" s="1"/>
      <x:c r="B130" s="1"/>
      <x:c r="C130" s="1"/>
      <x:c r="D130" s="2"/>
      <x:c r="E130" s="2"/>
      <x:c r="F130" s="2"/>
      <x:c r="G130" s="2"/>
      <x:c r="H130" s="2"/>
      <x:c r="I130" s="2"/>
      <x:c r="J130" s="2"/>
      <x:c r="K130" s="1"/>
      <x:c r="L130" s="1"/>
    </x:row>
    <x:row r="131" ht="21" customHeight="1">
      <x:c r="A131" s="1"/>
      <x:c r="B131" s="1"/>
      <x:c r="C131" s="1"/>
      <x:c r="D131" s="2"/>
      <x:c r="E131" s="2"/>
      <x:c r="F131" s="2"/>
      <x:c r="G131" s="2"/>
      <x:c r="H131" s="2"/>
      <x:c r="I131" s="2"/>
      <x:c r="J131" s="2"/>
      <x:c r="K131" s="1"/>
      <x:c r="L131" s="1"/>
    </x:row>
    <x:row r="132" ht="21" customHeight="1">
      <x:c r="A132" s="1"/>
      <x:c r="B132" s="1"/>
      <x:c r="C132" s="1"/>
      <x:c r="D132" s="2"/>
      <x:c r="E132" s="2"/>
      <x:c r="F132" s="2"/>
      <x:c r="G132" s="2"/>
      <x:c r="H132" s="2"/>
      <x:c r="I132" s="2"/>
      <x:c r="J132" s="2"/>
      <x:c r="K132" s="1"/>
      <x:c r="L132" s="1"/>
    </x:row>
    <x:row r="133" ht="21" customHeight="1">
      <x:c r="A133" s="1"/>
      <x:c r="B133" s="1"/>
      <x:c r="C133" s="1"/>
      <x:c r="D133" s="2"/>
      <x:c r="E133" s="2"/>
      <x:c r="F133" s="2"/>
      <x:c r="G133" s="2"/>
      <x:c r="H133" s="2"/>
      <x:c r="I133" s="2"/>
      <x:c r="J133" s="2"/>
      <x:c r="K133" s="1"/>
      <x:c r="L133" s="1"/>
    </x:row>
    <x:row r="134" ht="21" customHeight="1">
      <x:c r="A134" s="1"/>
      <x:c r="B134" s="1"/>
      <x:c r="C134" s="1"/>
      <x:c r="D134" s="2"/>
      <x:c r="E134" s="2"/>
      <x:c r="F134" s="2"/>
      <x:c r="G134" s="2"/>
      <x:c r="H134" s="2"/>
      <x:c r="I134" s="2"/>
      <x:c r="J134" s="2"/>
      <x:c r="K134" s="1"/>
      <x:c r="L134" s="1"/>
    </x:row>
    <x:row r="135" ht="21" customHeight="1">
      <x:c r="A135" s="1"/>
      <x:c r="B135" s="1"/>
      <x:c r="C135" s="1"/>
      <x:c r="D135" s="2"/>
      <x:c r="E135" s="2"/>
      <x:c r="F135" s="2"/>
      <x:c r="G135" s="2"/>
      <x:c r="H135" s="2"/>
      <x:c r="I135" s="2"/>
      <x:c r="J135" s="2"/>
      <x:c r="K135" s="1"/>
      <x:c r="L135" s="1"/>
    </x:row>
    <x:row r="136" ht="21" customHeight="1">
      <x:c r="A136" s="1"/>
      <x:c r="B136" s="1"/>
      <x:c r="C136" s="1"/>
      <x:c r="D136" s="2"/>
      <x:c r="E136" s="2"/>
      <x:c r="F136" s="2"/>
      <x:c r="G136" s="2"/>
      <x:c r="H136" s="2"/>
      <x:c r="I136" s="2"/>
      <x:c r="J136" s="2"/>
      <x:c r="K136" s="1"/>
      <x:c r="L136" s="1"/>
    </x:row>
    <x:row r="137" ht="21" customHeight="1">
      <x:c r="A137" s="1"/>
      <x:c r="B137" s="1"/>
      <x:c r="C137" s="1"/>
      <x:c r="D137" s="2"/>
      <x:c r="E137" s="2"/>
      <x:c r="F137" s="2"/>
      <x:c r="G137" s="2"/>
      <x:c r="H137" s="2"/>
      <x:c r="I137" s="2"/>
      <x:c r="J137" s="2"/>
      <x:c r="K137" s="1"/>
      <x:c r="L137" s="1"/>
    </x:row>
    <x:row r="138" ht="21" customHeight="1">
      <x:c r="A138" s="1"/>
      <x:c r="B138" s="1"/>
      <x:c r="C138" s="1"/>
      <x:c r="D138" s="2"/>
      <x:c r="E138" s="2"/>
      <x:c r="F138" s="2"/>
      <x:c r="G138" s="2"/>
      <x:c r="H138" s="2"/>
      <x:c r="I138" s="2"/>
      <x:c r="J138" s="2"/>
      <x:c r="K138" s="1"/>
      <x:c r="L138" s="1"/>
    </x:row>
    <x:row r="139" ht="21" customHeight="1">
      <x:c r="A139" s="1"/>
      <x:c r="B139" s="1"/>
      <x:c r="C139" s="1"/>
      <x:c r="D139" s="2"/>
      <x:c r="E139" s="2"/>
      <x:c r="F139" s="2"/>
      <x:c r="G139" s="2"/>
      <x:c r="H139" s="2"/>
      <x:c r="I139" s="2"/>
      <x:c r="J139" s="2"/>
      <x:c r="K139" s="1"/>
      <x:c r="L139" s="1"/>
    </x:row>
    <x:row r="140" ht="21" customHeight="1">
      <x:c r="A140" s="1"/>
      <x:c r="B140" s="1"/>
      <x:c r="C140" s="1"/>
      <x:c r="D140" s="2"/>
      <x:c r="E140" s="2"/>
      <x:c r="F140" s="2"/>
      <x:c r="G140" s="2"/>
      <x:c r="H140" s="2"/>
      <x:c r="I140" s="2"/>
      <x:c r="J140" s="2"/>
      <x:c r="K140" s="1"/>
      <x:c r="L140" s="1"/>
    </x:row>
    <x:row r="141" ht="21" customHeight="1">
      <x:c r="A141" s="1"/>
      <x:c r="B141" s="1"/>
      <x:c r="C141" s="1"/>
      <x:c r="D141" s="2"/>
      <x:c r="E141" s="2"/>
      <x:c r="F141" s="2"/>
      <x:c r="G141" s="2"/>
      <x:c r="H141" s="2"/>
      <x:c r="I141" s="2"/>
      <x:c r="J141" s="2"/>
      <x:c r="K141" s="1"/>
      <x:c r="L141" s="1"/>
    </x:row>
    <x:row r="142" ht="21" customHeight="1">
      <x:c r="A142" s="1"/>
      <x:c r="B142" s="1"/>
      <x:c r="C142" s="1"/>
      <x:c r="D142" s="2"/>
      <x:c r="E142" s="2"/>
      <x:c r="F142" s="2"/>
      <x:c r="G142" s="2"/>
      <x:c r="H142" s="2"/>
      <x:c r="I142" s="2"/>
      <x:c r="J142" s="2"/>
      <x:c r="K142" s="1"/>
      <x:c r="L142" s="1"/>
    </x:row>
    <x:row r="143" ht="21" customHeight="1">
      <x:c r="A143" s="1"/>
      <x:c r="B143" s="1"/>
      <x:c r="C143" s="1"/>
      <x:c r="D143" s="2"/>
      <x:c r="E143" s="2"/>
      <x:c r="F143" s="2"/>
      <x:c r="G143" s="2"/>
      <x:c r="H143" s="2"/>
      <x:c r="I143" s="2"/>
      <x:c r="J143" s="2"/>
      <x:c r="K143" s="1"/>
      <x:c r="L143" s="1"/>
    </x:row>
    <x:row r="144" ht="21" customHeight="1">
      <x:c r="A144" s="1"/>
      <x:c r="B144" s="1"/>
      <x:c r="C144" s="1"/>
      <x:c r="D144" s="2"/>
      <x:c r="E144" s="2"/>
      <x:c r="F144" s="2"/>
      <x:c r="G144" s="2"/>
      <x:c r="H144" s="2"/>
      <x:c r="I144" s="2"/>
      <x:c r="J144" s="2"/>
      <x:c r="K144" s="1"/>
      <x:c r="L144" s="1"/>
    </x:row>
    <x:row r="145" ht="21" customHeight="1">
      <x:c r="A145" s="1"/>
      <x:c r="B145" s="1"/>
      <x:c r="C145" s="1"/>
      <x:c r="D145" s="2"/>
      <x:c r="E145" s="2"/>
      <x:c r="F145" s="2"/>
      <x:c r="G145" s="2"/>
      <x:c r="H145" s="2"/>
      <x:c r="I145" s="2"/>
      <x:c r="J145" s="2"/>
      <x:c r="K145" s="1"/>
      <x:c r="L145" s="1"/>
    </x:row>
    <x:row r="146" ht="21" customHeight="1">
      <x:c r="A146" s="1"/>
      <x:c r="B146" s="1"/>
      <x:c r="C146" s="1"/>
      <x:c r="D146" s="2"/>
      <x:c r="E146" s="2"/>
      <x:c r="F146" s="2"/>
      <x:c r="G146" s="2"/>
      <x:c r="H146" s="2"/>
      <x:c r="I146" s="2"/>
      <x:c r="J146" s="2"/>
      <x:c r="K146" s="1"/>
      <x:c r="L146" s="1"/>
    </x:row>
    <x:row r="147" ht="21" customHeight="1">
      <x:c r="A147" s="1"/>
      <x:c r="B147" s="1"/>
      <x:c r="C147" s="1"/>
      <x:c r="D147" s="2"/>
      <x:c r="E147" s="2"/>
      <x:c r="F147" s="2"/>
      <x:c r="G147" s="2"/>
      <x:c r="H147" s="2"/>
      <x:c r="I147" s="2"/>
      <x:c r="J147" s="2"/>
      <x:c r="K147" s="1"/>
      <x:c r="L147" s="1"/>
    </x:row>
    <x:row r="148" ht="21" customHeight="1">
      <x:c r="A148" s="1"/>
      <x:c r="B148" s="1"/>
      <x:c r="C148" s="1"/>
      <x:c r="D148" s="2"/>
      <x:c r="E148" s="2"/>
      <x:c r="F148" s="2"/>
      <x:c r="G148" s="2"/>
      <x:c r="H148" s="2"/>
      <x:c r="I148" s="2"/>
      <x:c r="J148" s="2"/>
      <x:c r="K148" s="1"/>
      <x:c r="L148" s="1"/>
    </x:row>
    <x:row r="149" ht="21" customHeight="1">
      <x:c r="A149" s="1"/>
      <x:c r="B149" s="1"/>
      <x:c r="C149" s="1"/>
      <x:c r="D149" s="2"/>
      <x:c r="E149" s="2"/>
      <x:c r="F149" s="2"/>
      <x:c r="G149" s="2"/>
      <x:c r="H149" s="2"/>
      <x:c r="I149" s="2"/>
      <x:c r="J149" s="2"/>
      <x:c r="K149" s="1"/>
      <x:c r="L149" s="1"/>
    </x:row>
    <x:row r="150" ht="21" customHeight="1">
      <x:c r="A150" s="1"/>
      <x:c r="B150" s="1"/>
      <x:c r="C150" s="1"/>
      <x:c r="D150" s="2"/>
      <x:c r="E150" s="2"/>
      <x:c r="F150" s="2"/>
      <x:c r="G150" s="2"/>
      <x:c r="H150" s="2"/>
      <x:c r="I150" s="2"/>
      <x:c r="J150" s="2"/>
      <x:c r="K150" s="1"/>
      <x:c r="L150" s="1"/>
    </x:row>
    <x:row r="151" ht="21" customHeight="1">
      <x:c r="A151" s="1"/>
      <x:c r="B151" s="1"/>
      <x:c r="C151" s="1"/>
      <x:c r="D151" s="2"/>
      <x:c r="E151" s="2"/>
      <x:c r="F151" s="2"/>
      <x:c r="G151" s="2"/>
      <x:c r="H151" s="2"/>
      <x:c r="I151" s="2"/>
      <x:c r="J151" s="2"/>
      <x:c r="K151" s="1"/>
      <x:c r="L151" s="1"/>
    </x:row>
    <x:row r="152" ht="21" customHeight="1">
      <x:c r="A152" s="1"/>
      <x:c r="B152" s="1"/>
      <x:c r="C152" s="1"/>
      <x:c r="D152" s="2"/>
      <x:c r="E152" s="2"/>
      <x:c r="F152" s="2"/>
      <x:c r="G152" s="2"/>
      <x:c r="H152" s="2"/>
      <x:c r="I152" s="2"/>
      <x:c r="J152" s="2"/>
      <x:c r="K152" s="1"/>
      <x:c r="L152" s="1"/>
    </x:row>
    <x:row r="153" ht="21" customHeight="1">
      <x:c r="A153" s="1"/>
      <x:c r="B153" s="1"/>
      <x:c r="C153" s="1"/>
      <x:c r="D153" s="2"/>
      <x:c r="E153" s="2"/>
      <x:c r="F153" s="2"/>
      <x:c r="G153" s="2"/>
      <x:c r="H153" s="2"/>
      <x:c r="I153" s="2"/>
      <x:c r="J153" s="2"/>
      <x:c r="K153" s="1"/>
      <x:c r="L153" s="1"/>
    </x:row>
    <x:row r="154" ht="21" customHeight="1">
      <x:c r="A154" s="1"/>
      <x:c r="B154" s="1"/>
      <x:c r="C154" s="1"/>
      <x:c r="D154" s="2"/>
      <x:c r="E154" s="2"/>
      <x:c r="F154" s="2"/>
      <x:c r="G154" s="2"/>
      <x:c r="H154" s="2"/>
      <x:c r="I154" s="2"/>
      <x:c r="J154" s="2"/>
      <x:c r="K154" s="1"/>
      <x:c r="L154" s="1"/>
    </x:row>
    <x:row r="155" ht="21" customHeight="1">
      <x:c r="A155" s="1"/>
      <x:c r="B155" s="1"/>
      <x:c r="C155" s="1"/>
      <x:c r="D155" s="2"/>
      <x:c r="E155" s="2"/>
      <x:c r="F155" s="2"/>
      <x:c r="G155" s="2"/>
      <x:c r="H155" s="2"/>
      <x:c r="I155" s="2"/>
      <x:c r="J155" s="2"/>
      <x:c r="K155" s="1"/>
      <x:c r="L155" s="1"/>
    </x:row>
    <x:row r="156" ht="21" customHeight="1">
      <x:c r="A156" s="1"/>
      <x:c r="B156" s="1"/>
      <x:c r="C156" s="1"/>
      <x:c r="D156" s="2"/>
      <x:c r="E156" s="2"/>
      <x:c r="F156" s="2"/>
      <x:c r="G156" s="2"/>
      <x:c r="H156" s="2"/>
      <x:c r="I156" s="2"/>
      <x:c r="J156" s="2"/>
      <x:c r="K156" s="1"/>
      <x:c r="L156" s="1"/>
    </x:row>
    <x:row r="157" ht="21" customHeight="1">
      <x:c r="A157" s="1"/>
      <x:c r="B157" s="1"/>
      <x:c r="C157" s="1"/>
      <x:c r="D157" s="2"/>
      <x:c r="E157" s="2"/>
      <x:c r="F157" s="2"/>
      <x:c r="G157" s="2"/>
      <x:c r="H157" s="2"/>
      <x:c r="I157" s="2"/>
      <x:c r="J157" s="2"/>
      <x:c r="K157" s="1"/>
      <x:c r="L157" s="1"/>
    </x:row>
    <x:row r="158" ht="21" customHeight="1">
      <x:c r="A158" s="1"/>
      <x:c r="B158" s="1"/>
      <x:c r="C158" s="1"/>
      <x:c r="D158" s="2"/>
      <x:c r="E158" s="2"/>
      <x:c r="F158" s="2"/>
      <x:c r="G158" s="2"/>
      <x:c r="H158" s="2"/>
      <x:c r="I158" s="2"/>
      <x:c r="J158" s="2"/>
      <x:c r="K158" s="1"/>
      <x:c r="L158" s="1"/>
    </x:row>
    <x:row r="159" ht="21" customHeight="1">
      <x:c r="A159" s="1"/>
      <x:c r="B159" s="1"/>
      <x:c r="C159" s="1"/>
      <x:c r="D159" s="2"/>
      <x:c r="E159" s="2"/>
      <x:c r="F159" s="2"/>
      <x:c r="G159" s="2"/>
      <x:c r="H159" s="2"/>
      <x:c r="I159" s="2"/>
      <x:c r="J159" s="2"/>
      <x:c r="K159" s="1"/>
      <x:c r="L159" s="1"/>
    </x:row>
    <x:row r="160" ht="21" customHeight="1">
      <x:c r="A160" s="1"/>
      <x:c r="B160" s="1"/>
      <x:c r="C160" s="1"/>
      <x:c r="D160" s="2"/>
      <x:c r="E160" s="2"/>
      <x:c r="F160" s="2"/>
      <x:c r="G160" s="2"/>
      <x:c r="H160" s="2"/>
      <x:c r="I160" s="2"/>
      <x:c r="J160" s="2"/>
      <x:c r="K160" s="1"/>
      <x:c r="L160" s="1"/>
    </x:row>
    <x:row r="161" ht="21" customHeight="1">
      <x:c r="A161" s="1"/>
      <x:c r="B161" s="1"/>
      <x:c r="C161" s="1"/>
      <x:c r="D161" s="2"/>
      <x:c r="E161" s="2"/>
      <x:c r="F161" s="2"/>
      <x:c r="G161" s="2"/>
      <x:c r="H161" s="2"/>
      <x:c r="I161" s="2"/>
      <x:c r="J161" s="2"/>
      <x:c r="K161" s="1"/>
      <x:c r="L161" s="1"/>
    </x:row>
    <x:row r="162" ht="21" customHeight="1">
      <x:c r="A162" s="1"/>
      <x:c r="B162" s="1"/>
      <x:c r="C162" s="1"/>
      <x:c r="D162" s="2"/>
      <x:c r="E162" s="2"/>
      <x:c r="F162" s="2"/>
      <x:c r="G162" s="2"/>
      <x:c r="H162" s="2"/>
      <x:c r="I162" s="2"/>
      <x:c r="J162" s="2"/>
      <x:c r="K162" s="1"/>
      <x:c r="L162" s="1"/>
    </x:row>
    <x:row r="163" ht="21" customHeight="1">
      <x:c r="A163" s="1"/>
      <x:c r="B163" s="1"/>
      <x:c r="C163" s="1"/>
      <x:c r="D163" s="2"/>
      <x:c r="E163" s="2"/>
      <x:c r="F163" s="2"/>
      <x:c r="G163" s="2"/>
      <x:c r="H163" s="2"/>
      <x:c r="I163" s="2"/>
      <x:c r="J163" s="2"/>
      <x:c r="K163" s="1"/>
      <x:c r="L163" s="1"/>
    </x:row>
    <x:row r="164" ht="21" customHeight="1">
      <x:c r="A164" s="1"/>
      <x:c r="B164" s="1"/>
      <x:c r="C164" s="1"/>
      <x:c r="D164" s="2"/>
      <x:c r="E164" s="2"/>
      <x:c r="F164" s="2"/>
      <x:c r="G164" s="2"/>
      <x:c r="H164" s="2"/>
      <x:c r="I164" s="2"/>
      <x:c r="J164" s="2"/>
      <x:c r="K164" s="1"/>
      <x:c r="L164" s="1"/>
    </x:row>
    <x:row r="165" ht="21" customHeight="1">
      <x:c r="A165" s="1"/>
      <x:c r="B165" s="1"/>
      <x:c r="C165" s="1"/>
      <x:c r="D165" s="2"/>
      <x:c r="E165" s="2"/>
      <x:c r="F165" s="2"/>
      <x:c r="G165" s="2"/>
      <x:c r="H165" s="2"/>
      <x:c r="I165" s="2"/>
      <x:c r="J165" s="2"/>
      <x:c r="K165" s="1"/>
      <x:c r="L165" s="1"/>
    </x:row>
    <x:row r="166" ht="21" customHeight="1">
      <x:c r="A166" s="1"/>
      <x:c r="B166" s="1"/>
      <x:c r="C166" s="1"/>
      <x:c r="D166" s="2"/>
      <x:c r="E166" s="2"/>
      <x:c r="F166" s="2"/>
      <x:c r="G166" s="2"/>
      <x:c r="H166" s="2"/>
      <x:c r="I166" s="2"/>
      <x:c r="J166" s="2"/>
      <x:c r="K166" s="1"/>
      <x:c r="L166" s="1"/>
    </x:row>
    <x:row r="167" ht="21" customHeight="1">
      <x:c r="A167" s="1"/>
      <x:c r="B167" s="1"/>
      <x:c r="C167" s="1"/>
      <x:c r="D167" s="2"/>
      <x:c r="E167" s="2"/>
      <x:c r="F167" s="2"/>
      <x:c r="G167" s="2"/>
      <x:c r="H167" s="2"/>
      <x:c r="I167" s="2"/>
      <x:c r="J167" s="2"/>
      <x:c r="K167" s="1"/>
      <x:c r="L167" s="1"/>
    </x:row>
    <x:row r="168" ht="21" customHeight="1">
      <x:c r="A168" s="1"/>
      <x:c r="B168" s="1"/>
      <x:c r="C168" s="1"/>
      <x:c r="D168" s="2"/>
      <x:c r="E168" s="2"/>
      <x:c r="F168" s="2"/>
      <x:c r="G168" s="2"/>
      <x:c r="H168" s="2"/>
      <x:c r="I168" s="2"/>
      <x:c r="J168" s="2"/>
      <x:c r="K168" s="1"/>
      <x:c r="L168" s="1"/>
    </x:row>
    <x:row r="169" ht="21" customHeight="1">
      <x:c r="A169" s="1"/>
      <x:c r="B169" s="1"/>
      <x:c r="C169" s="1"/>
      <x:c r="D169" s="2"/>
      <x:c r="E169" s="2"/>
      <x:c r="F169" s="2"/>
      <x:c r="G169" s="2"/>
      <x:c r="H169" s="2"/>
      <x:c r="I169" s="2"/>
      <x:c r="J169" s="2"/>
      <x:c r="K169" s="1"/>
      <x:c r="L169" s="1"/>
    </x:row>
    <x:row r="170" ht="21" customHeight="1">
      <x:c r="A170" s="1"/>
      <x:c r="B170" s="1"/>
      <x:c r="C170" s="1"/>
      <x:c r="D170" s="2"/>
      <x:c r="E170" s="2"/>
      <x:c r="F170" s="2"/>
      <x:c r="G170" s="2"/>
      <x:c r="H170" s="2"/>
      <x:c r="I170" s="2"/>
      <x:c r="J170" s="2"/>
      <x:c r="K170" s="1"/>
      <x:c r="L170" s="1"/>
    </x:row>
    <x:row r="171" ht="21" customHeight="1">
      <x:c r="A171" s="1"/>
      <x:c r="B171" s="1"/>
      <x:c r="C171" s="1"/>
      <x:c r="D171" s="2"/>
      <x:c r="E171" s="2"/>
      <x:c r="F171" s="2"/>
      <x:c r="G171" s="2"/>
      <x:c r="H171" s="2"/>
      <x:c r="I171" s="2"/>
      <x:c r="J171" s="2"/>
      <x:c r="K171" s="1"/>
      <x:c r="L171" s="1"/>
    </x:row>
    <x:row r="172" ht="21" customHeight="1">
      <x:c r="A172" s="1"/>
      <x:c r="B172" s="1"/>
      <x:c r="C172" s="1"/>
      <x:c r="D172" s="2"/>
      <x:c r="E172" s="2"/>
      <x:c r="F172" s="2"/>
      <x:c r="G172" s="2"/>
      <x:c r="H172" s="2"/>
      <x:c r="I172" s="2"/>
      <x:c r="J172" s="2"/>
      <x:c r="K172" s="1"/>
      <x:c r="L172" s="1"/>
    </x:row>
    <x:row r="173" ht="21" customHeight="1">
      <x:c r="A173" s="1"/>
      <x:c r="B173" s="1"/>
      <x:c r="C173" s="1"/>
      <x:c r="D173" s="2"/>
      <x:c r="E173" s="2"/>
      <x:c r="F173" s="2"/>
      <x:c r="G173" s="2"/>
      <x:c r="H173" s="2"/>
      <x:c r="I173" s="2"/>
      <x:c r="J173" s="2"/>
      <x:c r="K173" s="1"/>
      <x:c r="L173" s="1"/>
    </x:row>
    <x:row r="174" ht="21" customHeight="1">
      <x:c r="A174" s="1"/>
      <x:c r="B174" s="1"/>
      <x:c r="C174" s="1"/>
      <x:c r="D174" s="2"/>
      <x:c r="E174" s="2"/>
      <x:c r="F174" s="2"/>
      <x:c r="G174" s="2"/>
      <x:c r="H174" s="2"/>
      <x:c r="I174" s="2"/>
      <x:c r="J174" s="2"/>
      <x:c r="K174" s="1"/>
      <x:c r="L174" s="1"/>
    </x:row>
    <x:row r="175" ht="21" customHeight="1">
      <x:c r="A175" s="1"/>
      <x:c r="B175" s="1"/>
      <x:c r="C175" s="1"/>
      <x:c r="D175" s="2"/>
      <x:c r="E175" s="2"/>
      <x:c r="F175" s="2"/>
      <x:c r="G175" s="2"/>
      <x:c r="H175" s="2"/>
      <x:c r="I175" s="2"/>
      <x:c r="J175" s="2"/>
      <x:c r="K175" s="1"/>
      <x:c r="L175" s="1"/>
    </x:row>
    <x:row r="176" ht="21" customHeight="1">
      <x:c r="A176" s="1"/>
      <x:c r="B176" s="1"/>
      <x:c r="C176" s="1"/>
      <x:c r="D176" s="2"/>
      <x:c r="E176" s="2"/>
      <x:c r="F176" s="2"/>
      <x:c r="G176" s="2"/>
      <x:c r="H176" s="2"/>
      <x:c r="I176" s="2"/>
      <x:c r="J176" s="2"/>
      <x:c r="K176" s="1"/>
      <x:c r="L176" s="1"/>
    </x:row>
    <x:row r="177" ht="21" customHeight="1">
      <x:c r="A177" s="1"/>
      <x:c r="B177" s="1"/>
      <x:c r="C177" s="1"/>
      <x:c r="D177" s="2"/>
      <x:c r="E177" s="2"/>
      <x:c r="F177" s="2"/>
      <x:c r="G177" s="2"/>
      <x:c r="H177" s="2"/>
      <x:c r="I177" s="2"/>
      <x:c r="J177" s="2"/>
      <x:c r="K177" s="1"/>
      <x:c r="L177" s="1"/>
    </x:row>
    <x:row r="178" ht="21" customHeight="1">
      <x:c r="A178" s="1"/>
      <x:c r="B178" s="1"/>
      <x:c r="C178" s="1"/>
      <x:c r="D178" s="2"/>
      <x:c r="E178" s="2"/>
      <x:c r="F178" s="2"/>
      <x:c r="G178" s="2"/>
      <x:c r="H178" s="2"/>
      <x:c r="I178" s="2"/>
      <x:c r="J178" s="2"/>
      <x:c r="K178" s="1"/>
      <x:c r="L178" s="1"/>
    </x:row>
    <x:row r="179" ht="21" customHeight="1">
      <x:c r="A179" s="1"/>
      <x:c r="B179" s="1"/>
      <x:c r="C179" s="1"/>
      <x:c r="D179" s="2"/>
      <x:c r="E179" s="2"/>
      <x:c r="F179" s="2"/>
      <x:c r="G179" s="2"/>
      <x:c r="H179" s="2"/>
      <x:c r="I179" s="2"/>
      <x:c r="J179" s="2"/>
      <x:c r="K179" s="1"/>
      <x:c r="L179" s="1"/>
    </x:row>
    <x:row r="180" ht="21" customHeight="1">
      <x:c r="A180" s="1"/>
      <x:c r="B180" s="1"/>
      <x:c r="C180" s="1"/>
      <x:c r="D180" s="2"/>
      <x:c r="E180" s="2"/>
      <x:c r="F180" s="2"/>
      <x:c r="G180" s="2"/>
      <x:c r="H180" s="2"/>
      <x:c r="I180" s="2"/>
      <x:c r="J180" s="2"/>
      <x:c r="K180" s="1"/>
      <x:c r="L180" s="1"/>
    </x:row>
    <x:row r="181" ht="21" customHeight="1">
      <x:c r="A181" s="1"/>
      <x:c r="B181" s="1"/>
      <x:c r="C181" s="1"/>
      <x:c r="D181" s="2"/>
      <x:c r="E181" s="2"/>
      <x:c r="F181" s="2"/>
      <x:c r="G181" s="2"/>
      <x:c r="H181" s="2"/>
      <x:c r="I181" s="2"/>
      <x:c r="J181" s="2"/>
      <x:c r="K181" s="1"/>
      <x:c r="L181" s="1"/>
    </x:row>
    <x:row r="182" ht="21" customHeight="1">
      <x:c r="A182" s="1"/>
      <x:c r="B182" s="1"/>
      <x:c r="C182" s="1"/>
      <x:c r="D182" s="2"/>
      <x:c r="E182" s="2"/>
      <x:c r="F182" s="2"/>
      <x:c r="G182" s="2"/>
      <x:c r="H182" s="2"/>
      <x:c r="I182" s="2"/>
      <x:c r="J182" s="2"/>
      <x:c r="K182" s="1"/>
      <x:c r="L182" s="1"/>
    </x:row>
    <x:row r="183" ht="21" customHeight="1">
      <x:c r="A183" s="1"/>
      <x:c r="B183" s="1"/>
      <x:c r="C183" s="1"/>
      <x:c r="D183" s="2"/>
      <x:c r="E183" s="2"/>
      <x:c r="F183" s="2"/>
      <x:c r="G183" s="2"/>
      <x:c r="H183" s="2"/>
      <x:c r="I183" s="2"/>
      <x:c r="J183" s="2"/>
      <x:c r="K183" s="1"/>
      <x:c r="L183" s="1"/>
    </x:row>
    <x:row r="184" ht="21" customHeight="1">
      <x:c r="A184" s="1"/>
      <x:c r="B184" s="1"/>
      <x:c r="C184" s="1"/>
      <x:c r="D184" s="2"/>
      <x:c r="E184" s="2"/>
      <x:c r="F184" s="2"/>
      <x:c r="G184" s="2"/>
      <x:c r="H184" s="2"/>
      <x:c r="I184" s="2"/>
      <x:c r="J184" s="2"/>
      <x:c r="K184" s="1"/>
      <x:c r="L184" s="1"/>
    </x:row>
    <x:row r="185" ht="21" customHeight="1">
      <x:c r="A185" s="1"/>
      <x:c r="B185" s="1"/>
      <x:c r="C185" s="1"/>
      <x:c r="D185" s="2"/>
      <x:c r="E185" s="2"/>
      <x:c r="F185" s="2"/>
      <x:c r="G185" s="2"/>
      <x:c r="H185" s="2"/>
      <x:c r="I185" s="2"/>
      <x:c r="J185" s="2"/>
      <x:c r="K185" s="1"/>
      <x:c r="L185" s="1"/>
    </x:row>
    <x:row r="186" ht="21" customHeight="1">
      <x:c r="A186" s="1"/>
      <x:c r="B186" s="1"/>
      <x:c r="C186" s="1"/>
      <x:c r="D186" s="2"/>
      <x:c r="E186" s="2"/>
      <x:c r="F186" s="2"/>
      <x:c r="G186" s="2"/>
      <x:c r="H186" s="2"/>
      <x:c r="I186" s="2"/>
      <x:c r="J186" s="2"/>
      <x:c r="K186" s="1"/>
      <x:c r="L186" s="1"/>
    </x:row>
    <x:row r="187" ht="21" customHeight="1">
      <x:c r="A187" s="1"/>
      <x:c r="B187" s="1"/>
      <x:c r="C187" s="1"/>
      <x:c r="D187" s="2"/>
      <x:c r="E187" s="2"/>
      <x:c r="F187" s="2"/>
      <x:c r="G187" s="2"/>
      <x:c r="H187" s="2"/>
      <x:c r="I187" s="2"/>
      <x:c r="J187" s="2"/>
      <x:c r="K187" s="1"/>
      <x:c r="L187" s="1"/>
    </x:row>
    <x:row r="188" ht="21" customHeight="1">
      <x:c r="A188" s="1"/>
      <x:c r="B188" s="1"/>
      <x:c r="C188" s="1"/>
      <x:c r="D188" s="2"/>
      <x:c r="E188" s="2"/>
      <x:c r="F188" s="2"/>
      <x:c r="G188" s="2"/>
      <x:c r="H188" s="2"/>
      <x:c r="I188" s="2"/>
      <x:c r="J188" s="2"/>
      <x:c r="K188" s="1"/>
      <x:c r="L188" s="1"/>
    </x:row>
    <x:row r="189" ht="21" customHeight="1">
      <x:c r="A189" s="1"/>
      <x:c r="B189" s="1"/>
      <x:c r="C189" s="1"/>
      <x:c r="D189" s="2"/>
      <x:c r="E189" s="2"/>
      <x:c r="F189" s="2"/>
      <x:c r="G189" s="2"/>
      <x:c r="H189" s="2"/>
      <x:c r="I189" s="2"/>
      <x:c r="J189" s="2"/>
      <x:c r="K189" s="1"/>
      <x:c r="L189" s="1"/>
    </x:row>
    <x:row r="190" ht="21" customHeight="1">
      <x:c r="A190" s="1"/>
      <x:c r="B190" s="1"/>
      <x:c r="C190" s="1"/>
      <x:c r="D190" s="2"/>
      <x:c r="E190" s="2"/>
      <x:c r="F190" s="2"/>
      <x:c r="G190" s="2"/>
      <x:c r="H190" s="2"/>
      <x:c r="I190" s="2"/>
      <x:c r="J190" s="2"/>
      <x:c r="K190" s="1"/>
      <x:c r="L190" s="1"/>
    </x:row>
    <x:row r="191" ht="21" customHeight="1">
      <x:c r="A191" s="1"/>
      <x:c r="B191" s="1"/>
      <x:c r="C191" s="1"/>
      <x:c r="D191" s="2"/>
      <x:c r="E191" s="2"/>
      <x:c r="F191" s="2"/>
      <x:c r="G191" s="2"/>
      <x:c r="H191" s="2"/>
      <x:c r="I191" s="2"/>
      <x:c r="J191" s="2"/>
      <x:c r="K191" s="1"/>
      <x:c r="L191" s="1"/>
    </x:row>
    <x:row r="192" ht="21" customHeight="1">
      <x:c r="A192" s="1"/>
      <x:c r="B192" s="1"/>
      <x:c r="C192" s="1"/>
      <x:c r="D192" s="2"/>
      <x:c r="E192" s="2"/>
      <x:c r="F192" s="2"/>
      <x:c r="G192" s="2"/>
      <x:c r="H192" s="2"/>
      <x:c r="I192" s="2"/>
      <x:c r="J192" s="2"/>
      <x:c r="K192" s="1"/>
      <x:c r="L192" s="1"/>
    </x:row>
    <x:row r="193" ht="21" customHeight="1">
      <x:c r="A193" s="1"/>
      <x:c r="B193" s="1"/>
      <x:c r="C193" s="1"/>
      <x:c r="D193" s="2"/>
      <x:c r="E193" s="2"/>
      <x:c r="F193" s="2"/>
      <x:c r="G193" s="2"/>
      <x:c r="H193" s="2"/>
      <x:c r="I193" s="2"/>
      <x:c r="J193" s="2"/>
      <x:c r="K193" s="1"/>
      <x:c r="L193" s="1"/>
    </x:row>
    <x:row r="194" ht="21" customHeight="1">
      <x:c r="A194" s="1"/>
      <x:c r="B194" s="1"/>
      <x:c r="C194" s="1"/>
      <x:c r="D194" s="2"/>
      <x:c r="E194" s="2"/>
      <x:c r="F194" s="2"/>
      <x:c r="G194" s="2"/>
      <x:c r="H194" s="2"/>
      <x:c r="I194" s="2"/>
      <x:c r="J194" s="2"/>
      <x:c r="K194" s="1"/>
      <x:c r="L194" s="1"/>
    </x:row>
    <x:row r="195" ht="21" customHeight="1">
      <x:c r="A195" s="1"/>
      <x:c r="B195" s="1"/>
      <x:c r="C195" s="1"/>
      <x:c r="D195" s="2"/>
      <x:c r="E195" s="2"/>
      <x:c r="F195" s="2"/>
      <x:c r="G195" s="2"/>
      <x:c r="H195" s="2"/>
      <x:c r="I195" s="2"/>
      <x:c r="J195" s="2"/>
      <x:c r="K195" s="1"/>
      <x:c r="L195" s="1"/>
    </x:row>
    <x:row r="196" ht="21" customHeight="1">
      <x:c r="A196" s="1"/>
      <x:c r="B196" s="1"/>
      <x:c r="C196" s="1"/>
      <x:c r="D196" s="2"/>
      <x:c r="E196" s="2"/>
      <x:c r="F196" s="2"/>
      <x:c r="G196" s="2"/>
      <x:c r="H196" s="2"/>
      <x:c r="I196" s="2"/>
      <x:c r="J196" s="2"/>
      <x:c r="K196" s="1"/>
      <x:c r="L196" s="1"/>
    </x:row>
    <x:row r="197" ht="21" customHeight="1">
      <x:c r="A197" s="1"/>
      <x:c r="B197" s="1"/>
      <x:c r="C197" s="1"/>
      <x:c r="D197" s="2"/>
      <x:c r="E197" s="2"/>
      <x:c r="F197" s="2"/>
      <x:c r="G197" s="2"/>
      <x:c r="H197" s="2"/>
      <x:c r="I197" s="2"/>
      <x:c r="J197" s="2"/>
      <x:c r="K197" s="1"/>
      <x:c r="L197" s="1"/>
    </x:row>
    <x:row r="198" ht="21" customHeight="1">
      <x:c r="A198" s="1"/>
      <x:c r="B198" s="1"/>
      <x:c r="C198" s="1"/>
      <x:c r="D198" s="2"/>
      <x:c r="E198" s="2"/>
      <x:c r="F198" s="2"/>
      <x:c r="G198" s="2"/>
      <x:c r="H198" s="2"/>
      <x:c r="I198" s="2"/>
      <x:c r="J198" s="2"/>
      <x:c r="K198" s="1"/>
      <x:c r="L198" s="1"/>
    </x:row>
    <x:row r="199" ht="21" customHeight="1">
      <x:c r="A199" s="1"/>
      <x:c r="B199" s="1"/>
      <x:c r="C199" s="1"/>
      <x:c r="D199" s="2"/>
      <x:c r="E199" s="2"/>
      <x:c r="F199" s="2"/>
      <x:c r="G199" s="2"/>
      <x:c r="H199" s="2"/>
      <x:c r="I199" s="2"/>
      <x:c r="J199" s="2"/>
      <x:c r="K199" s="1"/>
      <x:c r="L199" s="1"/>
    </x:row>
    <x:row r="200" ht="21" customHeight="1">
      <x:c r="A200" s="1"/>
      <x:c r="B200" s="1"/>
      <x:c r="C200" s="1"/>
      <x:c r="D200" s="2"/>
      <x:c r="E200" s="2"/>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 ref="C4:J4"/>
    <x:mergeCell ref="D27:J28"/>
    <x:mergeCell ref="C31:J34"/>
  </x:mergeCells>
  <x:pageMargins left="0.7" right="0.7" top="0.75" bottom="0.75" header="0.3" footer="0.3"/>
</x:worksheet>
</file>

<file path=xl/worksheets/sheet2.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1" customHeight="1">
      <x:c r="A1" s="1"/>
      <x:c r="B1" s="1"/>
      <x:c r="C1" s="4" t="str">
        <x:v>VISTA / Controls</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x:c r="D3" s="1"/>
      <x:c r="E3" s="1"/>
      <x:c r="F3" s="1"/>
      <x:c r="G3" s="1"/>
      <x:c r="H3" s="1"/>
      <x:c r="I3" s="1"/>
      <x:c r="J3" s="1"/>
      <x:c r="K3" s="1"/>
      <x:c r="L3" s="1"/>
    </x:row>
    <x:row r="4" ht="21" customHeight="1">
      <x:c r="A4" s="1"/>
      <x:c r="B4" s="1"/>
      <x:c r="C4" s="1" t="str">
        <x:v>Scenario</x:v>
      </x:c>
      <x:c r="D4" s="2" t="str">
        <x:v>Base</x:v>
      </x:c>
      <x:c r="E4" s="2"/>
      <x:c r="F4" s="2"/>
      <x:c r="G4" s="2"/>
      <x:c r="H4" s="2"/>
      <x:c r="I4" s="2"/>
      <x:c r="J4" s="2"/>
      <x:c r="K4" s="1"/>
      <x:c r="L4" s="1"/>
    </x:row>
    <x:row r="5" ht="21" customHeight="1">
      <x:c r="A5" s="1"/>
      <x:c r="B5" s="1"/>
      <x:c r="C5" s="1" t="str">
        <x:v>Case index</x:v>
      </x:c>
      <x:c r="D5" s="9" t="n">
        <x:f>MATCH(D4,{"Bear","Base","Bull"},0)</x:f>
        <x:v>2</x:v>
      </x:c>
      <x:c r="E5" s="2"/>
      <x:c r="F5" s="2"/>
      <x:c r="G5" s="2"/>
      <x:c r="H5" s="2"/>
      <x:c r="I5" s="2"/>
      <x:c r="J5" s="2"/>
      <x:c r="K5" s="1"/>
      <x:c r="L5" s="1"/>
    </x:row>
    <x:row r="6" ht="21" customHeight="1">
      <x:c r="A6" s="1"/>
      <x:c r="B6" s="1"/>
      <x:c r="C6" s="1"/>
      <x:c r="D6" s="2"/>
      <x:c r="E6" s="2"/>
      <x:c r="F6" s="2"/>
      <x:c r="G6" s="2"/>
      <x:c r="H6" s="2"/>
      <x:c r="I6" s="2"/>
      <x:c r="J6" s="2"/>
      <x:c r="K6" s="1"/>
      <x:c r="L6" s="1"/>
    </x:row>
    <x:row r="7" ht="21" customHeight="1">
      <x:c r="A7" s="1"/>
      <x:c r="B7" s="1"/>
      <x:c r="C7" s="1"/>
      <x:c r="D7" s="2" t="str">
        <x:v>F1 Sep-27</x:v>
      </x:c>
      <x:c r="E7" s="2" t="str">
        <x:v>F2 Sep-28</x:v>
      </x:c>
      <x:c r="F7" s="2" t="str">
        <x:v>F3 Sep-29</x:v>
      </x:c>
      <x:c r="G7" s="2" t="str">
        <x:v>F4 Sep-30</x:v>
      </x:c>
      <x:c r="H7" s="2" t="str">
        <x:v>F5 Sep-31</x:v>
      </x:c>
      <x:c r="I7" s="2"/>
      <x:c r="J7" s="2"/>
      <x:c r="K7" s="1"/>
      <x:c r="L7" s="1"/>
    </x:row>
    <x:row r="8" ht="21" customHeight="1">
      <x:c r="A8" s="1"/>
      <x:c r="B8" s="1"/>
      <x:c r="C8" s="1" t="str">
        <x:v>growth / active</x:v>
      </x:c>
      <x:c r="D8" s="12" t="n">
        <x:f>INDEX(D9:D11,$D$5)</x:f>
        <x:v>0.08</x:v>
      </x:c>
      <x:c r="E8" s="12" t="n">
        <x:f>INDEX(E9:E11,$D$5)</x:f>
        <x:v>0.07</x:v>
      </x:c>
      <x:c r="F8" s="12" t="n">
        <x:f>INDEX(F9:F11,$D$5)</x:f>
        <x:v>0.06</x:v>
      </x:c>
      <x:c r="G8" s="12" t="n">
        <x:f>INDEX(G9:G11,$D$5)</x:f>
        <x:v>0.05</x:v>
      </x:c>
      <x:c r="H8" s="12" t="n">
        <x:f>INDEX(H9:H11,$D$5)</x:f>
        <x:v>0.04</x:v>
      </x:c>
      <x:c r="I8" s="2"/>
      <x:c r="J8" s="2"/>
      <x:c r="K8" s="1"/>
      <x:c r="L8" s="1"/>
    </x:row>
    <x:row r="9" ht="21" customHeight="1">
      <x:c r="A9" s="1"/>
      <x:c r="B9" s="1"/>
      <x:c r="C9" s="1" t="str">
        <x:v>Bear</x:v>
      </x:c>
      <x:c r="D9" s="13" t="n">
        <x:v>0</x:v>
      </x:c>
      <x:c r="E9" s="13" t="n">
        <x:v>0.01</x:v>
      </x:c>
      <x:c r="F9" s="13" t="n">
        <x:v>0.02</x:v>
      </x:c>
      <x:c r="G9" s="13" t="n">
        <x:v>0.02</x:v>
      </x:c>
      <x:c r="H9" s="13" t="n">
        <x:v>0.02</x:v>
      </x:c>
      <x:c r="I9" s="2"/>
      <x:c r="J9" s="2"/>
      <x:c r="K9" s="1"/>
      <x:c r="L9" s="1"/>
    </x:row>
    <x:row r="10" ht="21" customHeight="1">
      <x:c r="A10" s="1"/>
      <x:c r="B10" s="1"/>
      <x:c r="C10" s="1" t="str">
        <x:v>Base</x:v>
      </x:c>
      <x:c r="D10" s="13" t="n">
        <x:v>0.08</x:v>
      </x:c>
      <x:c r="E10" s="13" t="n">
        <x:v>0.07</x:v>
      </x:c>
      <x:c r="F10" s="13" t="n">
        <x:v>0.06</x:v>
      </x:c>
      <x:c r="G10" s="13" t="n">
        <x:v>0.05</x:v>
      </x:c>
      <x:c r="H10" s="13" t="n">
        <x:v>0.04</x:v>
      </x:c>
      <x:c r="I10" s="2"/>
      <x:c r="J10" s="2"/>
      <x:c r="K10" s="1"/>
      <x:c r="L10" s="1"/>
    </x:row>
    <x:row r="11" ht="21" customHeight="1">
      <x:c r="A11" s="1"/>
      <x:c r="B11" s="1"/>
      <x:c r="C11" s="1" t="str">
        <x:v>Bull</x:v>
      </x:c>
      <x:c r="D11" s="13" t="n">
        <x:v>0.15</x:v>
      </x:c>
      <x:c r="E11" s="13" t="n">
        <x:v>0.12</x:v>
      </x:c>
      <x:c r="F11" s="13" t="n">
        <x:v>0.1</x:v>
      </x:c>
      <x:c r="G11" s="13" t="n">
        <x:v>0.08</x:v>
      </x:c>
      <x:c r="H11" s="13" t="n">
        <x:v>0.06</x:v>
      </x:c>
      <x:c r="I11" s="2"/>
      <x:c r="J11" s="2"/>
      <x:c r="K11" s="1"/>
      <x:c r="L11" s="1"/>
    </x:row>
    <x:row r="12" ht="21" customHeight="1">
      <x:c r="A12" s="1"/>
      <x:c r="B12" s="1"/>
      <x:c r="C12" s="1"/>
      <x:c r="D12" s="2"/>
      <x:c r="E12" s="2"/>
      <x:c r="F12" s="2"/>
      <x:c r="G12" s="2"/>
      <x:c r="H12" s="2"/>
      <x:c r="I12" s="2"/>
      <x:c r="J12" s="2"/>
      <x:c r="K12" s="1"/>
      <x:c r="L12" s="1"/>
    </x:row>
    <x:row r="13" ht="21" customHeight="1">
      <x:c r="A13" s="1"/>
      <x:c r="B13" s="1"/>
      <x:c r="C13" s="1" t="str">
        <x:v>margin / active</x:v>
      </x:c>
      <x:c r="D13" s="12" t="n">
        <x:f>INDEX(D14:D16,$D$5)</x:f>
        <x:v>0.14</x:v>
      </x:c>
      <x:c r="E13" s="12" t="n">
        <x:f>INDEX(E14:E16,$D$5)</x:f>
        <x:v>0.145</x:v>
      </x:c>
      <x:c r="F13" s="12" t="n">
        <x:f>INDEX(F14:F16,$D$5)</x:f>
        <x:v>0.15</x:v>
      </x:c>
      <x:c r="G13" s="12" t="n">
        <x:f>INDEX(G14:G16,$D$5)</x:f>
        <x:v>0.15</x:v>
      </x:c>
      <x:c r="H13" s="12" t="n">
        <x:f>INDEX(H14:H16,$D$5)</x:f>
        <x:v>0.15</x:v>
      </x:c>
      <x:c r="I13" s="2"/>
      <x:c r="J13" s="2"/>
      <x:c r="K13" s="1"/>
      <x:c r="L13" s="1"/>
    </x:row>
    <x:row r="14" ht="21" customHeight="1">
      <x:c r="A14" s="1"/>
      <x:c r="B14" s="1"/>
      <x:c r="C14" s="1" t="str">
        <x:v>Bear</x:v>
      </x:c>
      <x:c r="D14" s="13" t="n">
        <x:v>0.11</x:v>
      </x:c>
      <x:c r="E14" s="13" t="n">
        <x:v>0.11</x:v>
      </x:c>
      <x:c r="F14" s="13" t="n">
        <x:v>0.115</x:v>
      </x:c>
      <x:c r="G14" s="13" t="n">
        <x:v>0.12</x:v>
      </x:c>
      <x:c r="H14" s="13" t="n">
        <x:v>0.12</x:v>
      </x:c>
      <x:c r="I14" s="2"/>
      <x:c r="J14" s="2"/>
      <x:c r="K14" s="1"/>
      <x:c r="L14" s="1"/>
    </x:row>
    <x:row r="15" ht="21" customHeight="1">
      <x:c r="A15" s="1"/>
      <x:c r="B15" s="1"/>
      <x:c r="C15" s="1" t="str">
        <x:v>Base</x:v>
      </x:c>
      <x:c r="D15" s="13" t="n">
        <x:v>0.14</x:v>
      </x:c>
      <x:c r="E15" s="13" t="n">
        <x:v>0.145</x:v>
      </x:c>
      <x:c r="F15" s="13" t="n">
        <x:v>0.15</x:v>
      </x:c>
      <x:c r="G15" s="13" t="n">
        <x:v>0.15</x:v>
      </x:c>
      <x:c r="H15" s="13" t="n">
        <x:v>0.15</x:v>
      </x:c>
      <x:c r="I15" s="2"/>
      <x:c r="J15" s="2"/>
      <x:c r="K15" s="1"/>
      <x:c r="L15" s="1"/>
    </x:row>
    <x:row r="16" ht="21" customHeight="1">
      <x:c r="A16" s="1"/>
      <x:c r="B16" s="1"/>
      <x:c r="C16" s="1" t="str">
        <x:v>Bull</x:v>
      </x:c>
      <x:c r="D16" s="13" t="n">
        <x:v>0.16</x:v>
      </x:c>
      <x:c r="E16" s="13" t="n">
        <x:v>0.17</x:v>
      </x:c>
      <x:c r="F16" s="13" t="n">
        <x:v>0.18</x:v>
      </x:c>
      <x:c r="G16" s="13" t="n">
        <x:v>0.18</x:v>
      </x:c>
      <x:c r="H16" s="13" t="n">
        <x:v>0.18</x:v>
      </x:c>
      <x:c r="I16" s="2"/>
      <x:c r="J16" s="2"/>
      <x:c r="K16" s="1"/>
      <x:c r="L16" s="1"/>
    </x:row>
    <x:row r="17" ht="21" customHeight="1">
      <x:c r="A17" s="1"/>
      <x:c r="B17" s="1"/>
      <x:c r="C17" s="1"/>
      <x:c r="D17" s="2"/>
      <x:c r="E17" s="2"/>
      <x:c r="F17" s="2"/>
      <x:c r="G17" s="2"/>
      <x:c r="H17" s="2"/>
      <x:c r="I17" s="2"/>
      <x:c r="J17" s="2"/>
      <x:c r="K17" s="1"/>
      <x:c r="L17" s="1"/>
    </x:row>
    <x:row r="18" ht="21" customHeight="1">
      <x:c r="A18" s="1"/>
      <x:c r="B18" s="1"/>
      <x:c r="C18" s="1" t="str">
        <x:v>da / active</x:v>
      </x:c>
      <x:c r="D18" s="12" t="n">
        <x:f>INDEX(D19:D21,$D$5)</x:f>
        <x:v>0.155</x:v>
      </x:c>
      <x:c r="E18" s="12" t="n">
        <x:f>INDEX(E19:E21,$D$5)</x:f>
        <x:v>0.15</x:v>
      </x:c>
      <x:c r="F18" s="12" t="n">
        <x:f>INDEX(F19:F21,$D$5)</x:f>
        <x:v>0.145</x:v>
      </x:c>
      <x:c r="G18" s="12" t="n">
        <x:f>INDEX(G19:G21,$D$5)</x:f>
        <x:v>0.14</x:v>
      </x:c>
      <x:c r="H18" s="12" t="n">
        <x:f>INDEX(H19:H21,$D$5)</x:f>
        <x:v>0.14</x:v>
      </x:c>
      <x:c r="I18" s="2"/>
      <x:c r="J18" s="2"/>
      <x:c r="K18" s="1"/>
      <x:c r="L18" s="1"/>
    </x:row>
    <x:row r="19" ht="21" customHeight="1">
      <x:c r="A19" s="1"/>
      <x:c r="B19" s="1"/>
      <x:c r="C19" s="1" t="str">
        <x:v>Bear</x:v>
      </x:c>
      <x:c r="D19" s="13" t="n">
        <x:v>0.16</x:v>
      </x:c>
      <x:c r="E19" s="13" t="n">
        <x:v>0.16</x:v>
      </x:c>
      <x:c r="F19" s="13" t="n">
        <x:v>0.16</x:v>
      </x:c>
      <x:c r="G19" s="13" t="n">
        <x:v>0.16</x:v>
      </x:c>
      <x:c r="H19" s="13" t="n">
        <x:v>0.16</x:v>
      </x:c>
      <x:c r="I19" s="2"/>
      <x:c r="J19" s="2"/>
      <x:c r="K19" s="1"/>
      <x:c r="L19" s="1"/>
    </x:row>
    <x:row r="20" ht="21" customHeight="1">
      <x:c r="A20" s="1"/>
      <x:c r="B20" s="1"/>
      <x:c r="C20" s="1" t="str">
        <x:v>Base</x:v>
      </x:c>
      <x:c r="D20" s="13" t="n">
        <x:v>0.155</x:v>
      </x:c>
      <x:c r="E20" s="13" t="n">
        <x:v>0.15</x:v>
      </x:c>
      <x:c r="F20" s="13" t="n">
        <x:v>0.145</x:v>
      </x:c>
      <x:c r="G20" s="13" t="n">
        <x:v>0.14</x:v>
      </x:c>
      <x:c r="H20" s="13" t="n">
        <x:v>0.14</x:v>
      </x:c>
      <x:c r="I20" s="2"/>
      <x:c r="J20" s="2"/>
      <x:c r="K20" s="1"/>
      <x:c r="L20" s="1"/>
    </x:row>
    <x:row r="21" ht="21" customHeight="1">
      <x:c r="A21" s="1"/>
      <x:c r="B21" s="1"/>
      <x:c r="C21" s="1" t="str">
        <x:v>Bull</x:v>
      </x:c>
      <x:c r="D21" s="13" t="n">
        <x:v>0.15</x:v>
      </x:c>
      <x:c r="E21" s="13" t="n">
        <x:v>0.145</x:v>
      </x:c>
      <x:c r="F21" s="13" t="n">
        <x:v>0.14</x:v>
      </x:c>
      <x:c r="G21" s="13" t="n">
        <x:v>0.135</x:v>
      </x:c>
      <x:c r="H21" s="13" t="n">
        <x:v>0.13</x:v>
      </x:c>
      <x:c r="I21" s="2"/>
      <x:c r="J21" s="2"/>
      <x:c r="K21" s="1"/>
      <x:c r="L21" s="1"/>
    </x:row>
    <x:row r="22" ht="21" customHeight="1">
      <x:c r="A22" s="1"/>
      <x:c r="B22" s="1"/>
      <x:c r="C22" s="1"/>
      <x:c r="D22" s="2"/>
      <x:c r="E22" s="2"/>
      <x:c r="F22" s="2"/>
      <x:c r="G22" s="2"/>
      <x:c r="H22" s="2"/>
      <x:c r="I22" s="2"/>
      <x:c r="J22" s="2"/>
      <x:c r="K22" s="1"/>
      <x:c r="L22" s="1"/>
    </x:row>
    <x:row r="23" ht="21" customHeight="1">
      <x:c r="A23" s="1"/>
      <x:c r="B23" s="1"/>
      <x:c r="C23" s="1" t="str">
        <x:v>capex / active</x:v>
      </x:c>
      <x:c r="D23" s="12" t="n">
        <x:f>INDEX(D24:D26,$D$5)</x:f>
        <x:v>0.21</x:v>
      </x:c>
      <x:c r="E23" s="12" t="n">
        <x:f>INDEX(E24:E26,$D$5)</x:f>
        <x:v>0.2</x:v>
      </x:c>
      <x:c r="F23" s="12" t="n">
        <x:f>INDEX(F24:F26,$D$5)</x:f>
        <x:v>0.19</x:v>
      </x:c>
      <x:c r="G23" s="12" t="n">
        <x:f>INDEX(G24:G26,$D$5)</x:f>
        <x:v>0.18</x:v>
      </x:c>
      <x:c r="H23" s="12" t="n">
        <x:f>INDEX(H24:H26,$D$5)</x:f>
        <x:v>0.17</x:v>
      </x:c>
      <x:c r="I23" s="2"/>
      <x:c r="J23" s="2"/>
      <x:c r="K23" s="1"/>
      <x:c r="L23" s="1"/>
    </x:row>
    <x:row r="24" ht="21" customHeight="1">
      <x:c r="A24" s="1"/>
      <x:c r="B24" s="1"/>
      <x:c r="C24" s="1" t="str">
        <x:v>Bear</x:v>
      </x:c>
      <x:c r="D24" s="13" t="n">
        <x:v>0.22</x:v>
      </x:c>
      <x:c r="E24" s="13" t="n">
        <x:v>0.21</x:v>
      </x:c>
      <x:c r="F24" s="13" t="n">
        <x:v>0.2</x:v>
      </x:c>
      <x:c r="G24" s="13" t="n">
        <x:v>0.19</x:v>
      </x:c>
      <x:c r="H24" s="13" t="n">
        <x:v>0.18</x:v>
      </x:c>
      <x:c r="I24" s="2"/>
      <x:c r="J24" s="2"/>
      <x:c r="K24" s="1"/>
      <x:c r="L24" s="1"/>
    </x:row>
    <x:row r="25" ht="21" customHeight="1">
      <x:c r="A25" s="1"/>
      <x:c r="B25" s="1"/>
      <x:c r="C25" s="1" t="str">
        <x:v>Base</x:v>
      </x:c>
      <x:c r="D25" s="13" t="n">
        <x:v>0.21</x:v>
      </x:c>
      <x:c r="E25" s="13" t="n">
        <x:v>0.2</x:v>
      </x:c>
      <x:c r="F25" s="13" t="n">
        <x:v>0.19</x:v>
      </x:c>
      <x:c r="G25" s="13" t="n">
        <x:v>0.18</x:v>
      </x:c>
      <x:c r="H25" s="13" t="n">
        <x:v>0.17</x:v>
      </x:c>
      <x:c r="I25" s="2"/>
      <x:c r="J25" s="2"/>
      <x:c r="K25" s="1"/>
      <x:c r="L25" s="1"/>
    </x:row>
    <x:row r="26" ht="21" customHeight="1">
      <x:c r="A26" s="1"/>
      <x:c r="B26" s="1"/>
      <x:c r="C26" s="1" t="str">
        <x:v>Bull</x:v>
      </x:c>
      <x:c r="D26" s="13" t="n">
        <x:v>0.2</x:v>
      </x:c>
      <x:c r="E26" s="13" t="n">
        <x:v>0.19</x:v>
      </x:c>
      <x:c r="F26" s="13" t="n">
        <x:v>0.18</x:v>
      </x:c>
      <x:c r="G26" s="13" t="n">
        <x:v>0.17</x:v>
      </x:c>
      <x:c r="H26" s="13" t="n">
        <x:v>0.16</x:v>
      </x:c>
      <x:c r="I26" s="2"/>
      <x:c r="J26" s="2"/>
      <x:c r="K26" s="1"/>
      <x:c r="L26" s="1"/>
    </x:row>
    <x:row r="27" ht="21" customHeight="1">
      <x:c r="A27" s="1"/>
      <x:c r="B27" s="1"/>
      <x:c r="C27" s="1"/>
      <x:c r="D27" s="2"/>
      <x:c r="E27" s="2"/>
      <x:c r="F27" s="2"/>
      <x:c r="G27" s="2"/>
      <x:c r="H27" s="2"/>
      <x:c r="I27" s="2"/>
      <x:c r="J27" s="2"/>
      <x:c r="K27" s="1"/>
      <x:c r="L27" s="1"/>
    </x:row>
    <x:row r="28" ht="21" customHeight="1">
      <x:c r="A28" s="1"/>
      <x:c r="B28" s="1"/>
      <x:c r="C28" s="1" t="str">
        <x:v>nwc / active</x:v>
      </x:c>
      <x:c r="D28" s="12" t="n">
        <x:f>INDEX(D29:D31,$D$5)</x:f>
        <x:v>0.12</x:v>
      </x:c>
      <x:c r="E28" s="12" t="n">
        <x:f>INDEX(E29:E31,$D$5)</x:f>
        <x:v>0.12</x:v>
      </x:c>
      <x:c r="F28" s="12" t="n">
        <x:f>INDEX(F29:F31,$D$5)</x:f>
        <x:v>0.12</x:v>
      </x:c>
      <x:c r="G28" s="12" t="n">
        <x:f>INDEX(G29:G31,$D$5)</x:f>
        <x:v>0.12</x:v>
      </x:c>
      <x:c r="H28" s="12" t="n">
        <x:f>INDEX(H29:H31,$D$5)</x:f>
        <x:v>0.12</x:v>
      </x:c>
      <x:c r="I28" s="2"/>
      <x:c r="J28" s="2"/>
      <x:c r="K28" s="1"/>
      <x:c r="L28" s="1"/>
    </x:row>
    <x:row r="29" ht="21" customHeight="1">
      <x:c r="A29" s="1"/>
      <x:c r="B29" s="1"/>
      <x:c r="C29" s="1" t="str">
        <x:v>Bear</x:v>
      </x:c>
      <x:c r="D29" s="13" t="n">
        <x:v>0.13</x:v>
      </x:c>
      <x:c r="E29" s="13" t="n">
        <x:v>0.13</x:v>
      </x:c>
      <x:c r="F29" s="13" t="n">
        <x:v>0.13</x:v>
      </x:c>
      <x:c r="G29" s="13" t="n">
        <x:v>0.13</x:v>
      </x:c>
      <x:c r="H29" s="13" t="n">
        <x:v>0.13</x:v>
      </x:c>
      <x:c r="I29" s="2"/>
      <x:c r="J29" s="2"/>
      <x:c r="K29" s="1"/>
      <x:c r="L29" s="1"/>
    </x:row>
    <x:row r="30" ht="21" customHeight="1">
      <x:c r="A30" s="1"/>
      <x:c r="B30" s="1"/>
      <x:c r="C30" s="1" t="str">
        <x:v>Base</x:v>
      </x:c>
      <x:c r="D30" s="13" t="n">
        <x:v>0.12</x:v>
      </x:c>
      <x:c r="E30" s="13" t="n">
        <x:v>0.12</x:v>
      </x:c>
      <x:c r="F30" s="13" t="n">
        <x:v>0.12</x:v>
      </x:c>
      <x:c r="G30" s="13" t="n">
        <x:v>0.12</x:v>
      </x:c>
      <x:c r="H30" s="13" t="n">
        <x:v>0.12</x:v>
      </x:c>
      <x:c r="I30" s="2"/>
      <x:c r="J30" s="2"/>
      <x:c r="K30" s="1"/>
      <x:c r="L30" s="1"/>
    </x:row>
    <x:row r="31" ht="21" customHeight="1">
      <x:c r="A31" s="1"/>
      <x:c r="B31" s="1"/>
      <x:c r="C31" s="1" t="str">
        <x:v>Bull</x:v>
      </x:c>
      <x:c r="D31" s="13" t="n">
        <x:v>0.11</x:v>
      </x:c>
      <x:c r="E31" s="13" t="n">
        <x:v>0.11</x:v>
      </x:c>
      <x:c r="F31" s="13" t="n">
        <x:v>0.11</x:v>
      </x:c>
      <x:c r="G31" s="13" t="n">
        <x:v>0.11</x:v>
      </x:c>
      <x:c r="H31" s="13" t="n">
        <x:v>0.11</x:v>
      </x:c>
      <x:c r="I31" s="2"/>
      <x:c r="J31" s="2"/>
      <x:c r="K31" s="1"/>
      <x:c r="L31" s="1"/>
    </x:row>
    <x:row r="32" ht="21" customHeight="1">
      <x:c r="A32" s="1"/>
      <x:c r="B32" s="1"/>
      <x:c r="C32" s="1"/>
      <x:c r="D32" s="2"/>
      <x:c r="E32" s="2"/>
      <x:c r="F32" s="2"/>
      <x:c r="G32" s="2"/>
      <x:c r="H32" s="2"/>
      <x:c r="I32" s="2"/>
      <x:c r="J32" s="2"/>
      <x:c r="K32" s="1"/>
      <x:c r="L32" s="1"/>
    </x:row>
    <x:row r="33" ht="21" customHeight="1">
      <x:c r="A33" s="1"/>
      <x:c r="B33" s="1"/>
      <x:c r="C33" s="1"/>
      <x:c r="D33" s="2"/>
      <x:c r="E33" s="2"/>
      <x:c r="F33" s="2"/>
      <x:c r="G33" s="2"/>
      <x:c r="H33" s="2"/>
      <x:c r="I33" s="2"/>
      <x:c r="J33" s="2"/>
      <x:c r="K33" s="1"/>
      <x:c r="L33" s="1"/>
    </x:row>
    <x:row r="34" ht="21" customHeight="1">
      <x:c r="A34" s="1"/>
      <x:c r="B34" s="1"/>
      <x:c r="C34" s="1" t="str">
        <x:v>wacc / active</x:v>
      </x:c>
      <x:c r="D34" s="12" t="n">
        <x:f>INDEX(D35:D37,$D$5)</x:f>
        <x:v>0.14</x:v>
      </x:c>
      <x:c r="E34" s="2"/>
      <x:c r="F34" s="2"/>
      <x:c r="G34" s="2"/>
      <x:c r="H34" s="2"/>
      <x:c r="I34" s="2"/>
      <x:c r="J34" s="2"/>
      <x:c r="K34" s="1"/>
      <x:c r="L34" s="1"/>
    </x:row>
    <x:row r="35" ht="21" customHeight="1">
      <x:c r="A35" s="1"/>
      <x:c r="B35" s="1"/>
      <x:c r="C35" s="1" t="str">
        <x:v>Bear</x:v>
      </x:c>
      <x:c r="D35" s="13" t="n">
        <x:v>0.16</x:v>
      </x:c>
      <x:c r="E35" s="2"/>
      <x:c r="F35" s="2"/>
      <x:c r="G35" s="2"/>
      <x:c r="H35" s="2"/>
      <x:c r="I35" s="2"/>
      <x:c r="J35" s="2"/>
      <x:c r="K35" s="1"/>
      <x:c r="L35" s="1"/>
    </x:row>
    <x:row r="36" ht="21" customHeight="1">
      <x:c r="A36" s="1"/>
      <x:c r="B36" s="1"/>
      <x:c r="C36" s="1" t="str">
        <x:v>Base</x:v>
      </x:c>
      <x:c r="D36" s="13" t="n">
        <x:v>0.14</x:v>
      </x:c>
      <x:c r="E36" s="2"/>
      <x:c r="F36" s="2"/>
      <x:c r="G36" s="2"/>
      <x:c r="H36" s="2"/>
      <x:c r="I36" s="2"/>
      <x:c r="J36" s="2"/>
      <x:c r="K36" s="1"/>
      <x:c r="L36" s="1"/>
    </x:row>
    <x:row r="37" ht="21" customHeight="1">
      <x:c r="A37" s="1"/>
      <x:c r="B37" s="1"/>
      <x:c r="C37" s="1" t="str">
        <x:v>Bull</x:v>
      </x:c>
      <x:c r="D37" s="13" t="n">
        <x:v>0.12</x:v>
      </x:c>
      <x:c r="E37" s="2"/>
      <x:c r="F37" s="2"/>
      <x:c r="G37" s="2"/>
      <x:c r="H37" s="2"/>
      <x:c r="I37" s="2"/>
      <x:c r="J37" s="2"/>
      <x:c r="K37" s="1"/>
      <x:c r="L37" s="1"/>
    </x:row>
    <x:row r="38" ht="21" customHeight="1">
      <x:c r="A38" s="1"/>
      <x:c r="B38" s="1"/>
      <x:c r="C38" s="1"/>
      <x:c r="D38" s="2"/>
      <x:c r="E38" s="2"/>
      <x:c r="F38" s="2"/>
      <x:c r="G38" s="2"/>
      <x:c r="H38" s="2"/>
      <x:c r="I38" s="2"/>
      <x:c r="J38" s="2"/>
      <x:c r="K38" s="1"/>
      <x:c r="L38" s="1"/>
    </x:row>
    <x:row r="39" ht="21" customHeight="1">
      <x:c r="A39" s="1"/>
      <x:c r="B39" s="1"/>
      <x:c r="C39" s="1" t="str">
        <x:v>g / active</x:v>
      </x:c>
      <x:c r="D39" s="12" t="n">
        <x:f>INDEX(D40:D42,$D$5)</x:f>
        <x:v>0.035</x:v>
      </x:c>
      <x:c r="E39" s="2"/>
      <x:c r="F39" s="2"/>
      <x:c r="G39" s="2"/>
      <x:c r="H39" s="2"/>
      <x:c r="I39" s="2"/>
      <x:c r="J39" s="2"/>
      <x:c r="K39" s="1"/>
      <x:c r="L39" s="1"/>
    </x:row>
    <x:row r="40" ht="21" customHeight="1">
      <x:c r="A40" s="1"/>
      <x:c r="B40" s="1"/>
      <x:c r="C40" s="1" t="str">
        <x:v>Bear</x:v>
      </x:c>
      <x:c r="D40" s="13" t="n">
        <x:v>0.025</x:v>
      </x:c>
      <x:c r="E40" s="2"/>
      <x:c r="F40" s="2"/>
      <x:c r="G40" s="2"/>
      <x:c r="H40" s="2"/>
      <x:c r="I40" s="2"/>
      <x:c r="J40" s="2"/>
      <x:c r="K40" s="1"/>
      <x:c r="L40" s="1"/>
    </x:row>
    <x:row r="41" ht="21" customHeight="1">
      <x:c r="A41" s="1"/>
      <x:c r="B41" s="1"/>
      <x:c r="C41" s="1" t="str">
        <x:v>Base</x:v>
      </x:c>
      <x:c r="D41" s="13" t="n">
        <x:v>0.035</x:v>
      </x:c>
      <x:c r="E41" s="2"/>
      <x:c r="F41" s="2"/>
      <x:c r="G41" s="2"/>
      <x:c r="H41" s="2"/>
      <x:c r="I41" s="2"/>
      <x:c r="J41" s="2"/>
      <x:c r="K41" s="1"/>
      <x:c r="L41" s="1"/>
    </x:row>
    <x:row r="42" ht="21" customHeight="1">
      <x:c r="A42" s="1"/>
      <x:c r="B42" s="1"/>
      <x:c r="C42" s="1" t="str">
        <x:v>Bull</x:v>
      </x:c>
      <x:c r="D42" s="13" t="n">
        <x:v>0.04</x:v>
      </x:c>
      <x:c r="E42" s="2"/>
      <x:c r="F42" s="2"/>
      <x:c r="G42" s="2"/>
      <x:c r="H42" s="2"/>
      <x:c r="I42" s="2"/>
      <x:c r="J42" s="2"/>
      <x:c r="K42" s="1"/>
      <x:c r="L42" s="1"/>
    </x:row>
    <x:row r="43" ht="21" customHeight="1">
      <x:c r="A43" s="1"/>
      <x:c r="B43" s="1"/>
      <x:c r="C43" s="1"/>
      <x:c r="D43" s="2"/>
      <x:c r="E43" s="2"/>
      <x:c r="F43" s="2"/>
      <x:c r="G43" s="2"/>
      <x:c r="H43" s="2"/>
      <x:c r="I43" s="2"/>
      <x:c r="J43" s="2"/>
      <x:c r="K43" s="1"/>
      <x:c r="L43" s="1"/>
    </x:row>
    <x:row r="44" ht="21" customHeight="1">
      <x:c r="A44" s="1"/>
      <x:c r="B44" s="1"/>
      <x:c r="C44" s="1" t="str">
        <x:v>roic / active</x:v>
      </x:c>
      <x:c r="D44" s="12" t="n">
        <x:f>INDEX(D45:D47,$D$5)</x:f>
        <x:v>0.15</x:v>
      </x:c>
      <x:c r="E44" s="2"/>
      <x:c r="F44" s="2"/>
      <x:c r="G44" s="2"/>
      <x:c r="H44" s="2"/>
      <x:c r="I44" s="2"/>
      <x:c r="J44" s="2"/>
      <x:c r="K44" s="1"/>
      <x:c r="L44" s="1"/>
    </x:row>
    <x:row r="45" ht="21" customHeight="1">
      <x:c r="A45" s="1"/>
      <x:c r="B45" s="1"/>
      <x:c r="C45" s="1" t="str">
        <x:v>Bear</x:v>
      </x:c>
      <x:c r="D45" s="13" t="n">
        <x:v>0.12</x:v>
      </x:c>
      <x:c r="E45" s="2"/>
      <x:c r="F45" s="2"/>
      <x:c r="G45" s="2"/>
      <x:c r="H45" s="2"/>
      <x:c r="I45" s="2"/>
      <x:c r="J45" s="2"/>
      <x:c r="K45" s="1"/>
      <x:c r="L45" s="1"/>
    </x:row>
    <x:row r="46" ht="21" customHeight="1">
      <x:c r="A46" s="1"/>
      <x:c r="B46" s="1"/>
      <x:c r="C46" s="1" t="str">
        <x:v>Base</x:v>
      </x:c>
      <x:c r="D46" s="13" t="n">
        <x:v>0.15</x:v>
      </x:c>
      <x:c r="E46" s="2"/>
      <x:c r="F46" s="2"/>
      <x:c r="G46" s="2"/>
      <x:c r="H46" s="2"/>
      <x:c r="I46" s="2"/>
      <x:c r="J46" s="2"/>
      <x:c r="K46" s="1"/>
      <x:c r="L46" s="1"/>
    </x:row>
    <x:row r="47" ht="21" customHeight="1">
      <x:c r="A47" s="1"/>
      <x:c r="B47" s="1"/>
      <x:c r="C47" s="1" t="str">
        <x:v>Bull</x:v>
      </x:c>
      <x:c r="D47" s="13" t="n">
        <x:v>0.18</x:v>
      </x:c>
      <x:c r="E47" s="2"/>
      <x:c r="F47" s="2"/>
      <x:c r="G47" s="2"/>
      <x:c r="H47" s="2"/>
      <x:c r="I47" s="2"/>
      <x:c r="J47" s="2"/>
      <x:c r="K47" s="1"/>
      <x:c r="L47" s="1"/>
    </x:row>
    <x:row r="48" ht="21" customHeight="1">
      <x:c r="A48" s="1"/>
      <x:c r="B48" s="1"/>
      <x:c r="C48" s="1"/>
      <x:c r="D48" s="2"/>
      <x:c r="E48" s="2"/>
      <x:c r="F48" s="2"/>
      <x:c r="G48" s="2"/>
      <x:c r="H48" s="2"/>
      <x:c r="I48" s="2"/>
      <x:c r="J48" s="2"/>
      <x:c r="K48" s="1"/>
      <x:c r="L48" s="1"/>
    </x:row>
    <x:row r="49" ht="21" customHeight="1">
      <x:c r="A49" s="1"/>
      <x:c r="B49" s="1"/>
      <x:c r="C49" s="1" t="str">
        <x:v>asset_recovery / active</x:v>
      </x:c>
      <x:c r="D49" s="12" t="n">
        <x:f>INDEX(D50:D52,$D$5)</x:f>
        <x:v>0.3</x:v>
      </x:c>
      <x:c r="E49" s="2"/>
      <x:c r="F49" s="2"/>
      <x:c r="G49" s="2"/>
      <x:c r="H49" s="2"/>
      <x:c r="I49" s="2"/>
      <x:c r="J49" s="2"/>
      <x:c r="K49" s="1"/>
      <x:c r="L49" s="1"/>
    </x:row>
    <x:row r="50" ht="21" customHeight="1">
      <x:c r="A50" s="1"/>
      <x:c r="B50" s="1"/>
      <x:c r="C50" s="1" t="str">
        <x:v>Bear</x:v>
      </x:c>
      <x:c r="D50" s="13" t="n">
        <x:v>0.1</x:v>
      </x:c>
      <x:c r="E50" s="2"/>
      <x:c r="F50" s="2"/>
      <x:c r="G50" s="2"/>
      <x:c r="H50" s="2"/>
      <x:c r="I50" s="2"/>
      <x:c r="J50" s="2"/>
      <x:c r="K50" s="1"/>
      <x:c r="L50" s="1"/>
    </x:row>
    <x:row r="51" ht="21" customHeight="1">
      <x:c r="A51" s="1"/>
      <x:c r="B51" s="1"/>
      <x:c r="C51" s="1" t="str">
        <x:v>Base</x:v>
      </x:c>
      <x:c r="D51" s="13" t="n">
        <x:v>0.3</x:v>
      </x:c>
      <x:c r="E51" s="2"/>
      <x:c r="F51" s="2"/>
      <x:c r="G51" s="2"/>
      <x:c r="H51" s="2"/>
      <x:c r="I51" s="2"/>
      <x:c r="J51" s="2"/>
      <x:c r="K51" s="1"/>
      <x:c r="L51" s="1"/>
    </x:row>
    <x:row r="52" ht="21" customHeight="1">
      <x:c r="A52" s="1"/>
      <x:c r="B52" s="1"/>
      <x:c r="C52" s="1" t="str">
        <x:v>Bull</x:v>
      </x:c>
      <x:c r="D52" s="13" t="n">
        <x:v>0.5</x:v>
      </x:c>
      <x:c r="E52" s="2"/>
      <x:c r="F52" s="2"/>
      <x:c r="G52" s="2"/>
      <x:c r="H52" s="2"/>
      <x:c r="I52" s="2"/>
      <x:c r="J52" s="2"/>
      <x:c r="K52" s="1"/>
      <x:c r="L52" s="1"/>
    </x:row>
    <x:row r="53" ht="21" customHeight="1">
      <x:c r="A53" s="1"/>
      <x:c r="B53" s="1"/>
      <x:c r="C53" s="1"/>
      <x:c r="D53" s="2"/>
      <x:c r="E53" s="2"/>
      <x:c r="F53" s="2"/>
      <x:c r="G53" s="2"/>
      <x:c r="H53" s="2"/>
      <x:c r="I53" s="2"/>
      <x:c r="J53" s="2"/>
      <x:c r="K53" s="1"/>
      <x:c r="L53" s="1"/>
    </x:row>
    <x:row r="54" ht="21" customHeight="1">
      <x:c r="A54" s="1"/>
      <x:c r="B54" s="1"/>
      <x:c r="C54" s="1" t="str">
        <x:v>investment_recovery / active</x:v>
      </x:c>
      <x:c r="D54" s="12" t="n">
        <x:f>INDEX(D55:D57,$D$5)</x:f>
        <x:v>0.9</x:v>
      </x:c>
      <x:c r="E54" s="2"/>
      <x:c r="F54" s="2"/>
      <x:c r="G54" s="2"/>
      <x:c r="H54" s="2"/>
      <x:c r="I54" s="2"/>
      <x:c r="J54" s="2"/>
      <x:c r="K54" s="1"/>
      <x:c r="L54" s="1"/>
    </x:row>
    <x:row r="55" ht="21" customHeight="1">
      <x:c r="A55" s="1"/>
      <x:c r="B55" s="1"/>
      <x:c r="C55" s="1" t="str">
        <x:v>Bear</x:v>
      </x:c>
      <x:c r="D55" s="13" t="n">
        <x:v>0.75</x:v>
      </x:c>
      <x:c r="E55" s="2"/>
      <x:c r="F55" s="2"/>
      <x:c r="G55" s="2"/>
      <x:c r="H55" s="2"/>
      <x:c r="I55" s="2"/>
      <x:c r="J55" s="2"/>
      <x:c r="K55" s="1"/>
      <x:c r="L55" s="1"/>
    </x:row>
    <x:row r="56" ht="21" customHeight="1">
      <x:c r="A56" s="1"/>
      <x:c r="B56" s="1"/>
      <x:c r="C56" s="1" t="str">
        <x:v>Base</x:v>
      </x:c>
      <x:c r="D56" s="13" t="n">
        <x:v>0.9</x:v>
      </x:c>
      <x:c r="E56" s="2"/>
      <x:c r="F56" s="2"/>
      <x:c r="G56" s="2"/>
      <x:c r="H56" s="2"/>
      <x:c r="I56" s="2"/>
      <x:c r="J56" s="2"/>
      <x:c r="K56" s="1"/>
      <x:c r="L56" s="1"/>
    </x:row>
    <x:row r="57" ht="21" customHeight="1">
      <x:c r="A57" s="1"/>
      <x:c r="B57" s="1"/>
      <x:c r="C57" s="1" t="str">
        <x:v>Bull</x:v>
      </x:c>
      <x:c r="D57" s="13" t="n">
        <x:v>1</x:v>
      </x:c>
      <x:c r="E57" s="2"/>
      <x:c r="F57" s="2"/>
      <x:c r="G57" s="2"/>
      <x:c r="H57" s="2"/>
      <x:c r="I57" s="2"/>
      <x:c r="J57" s="2"/>
      <x:c r="K57" s="1"/>
      <x:c r="L57" s="1"/>
    </x:row>
    <x:row r="58" ht="21" customHeight="1">
      <x:c r="A58" s="1"/>
      <x:c r="B58" s="1"/>
      <x:c r="C58" s="1"/>
      <x:c r="D58" s="2"/>
      <x:c r="E58" s="2"/>
      <x:c r="F58" s="2"/>
      <x:c r="G58" s="2"/>
      <x:c r="H58" s="2"/>
      <x:c r="I58" s="2"/>
      <x:c r="J58" s="2"/>
      <x:c r="K58" s="1"/>
      <x:c r="L58" s="1"/>
    </x:row>
    <x:row r="59" ht="25" customHeight="1">
      <x:c r="A59" s="1"/>
      <x:c r="B59" s="1"/>
      <x:c r="C59" s="16" t="str">
        <x:v>Shared inputs and analyst judgments</x:v>
      </x:c>
      <x:c r="D59" s="17"/>
      <x:c r="E59" s="17"/>
      <x:c r="F59" s="17"/>
      <x:c r="G59" s="17"/>
      <x:c r="H59" s="17"/>
      <x:c r="I59" s="17"/>
      <x:c r="J59" s="17"/>
      <x:c r="K59" s="1"/>
      <x:c r="L59" s="1"/>
    </x:row>
    <x:row r="60" ht="21" customHeight="1">
      <x:c r="A60" s="1"/>
      <x:c r="B60" s="1"/>
      <x:c r="C60" s="1" t="str">
        <x:v>Reference price / IDR</x:v>
      </x:c>
      <x:c r="D60" s="11" t="n">
        <x:v>242</x:v>
      </x:c>
      <x:c r="E60" s="2"/>
      <x:c r="F60" s="2"/>
      <x:c r="G60" s="2"/>
      <x:c r="H60" s="2"/>
      <x:c r="I60" s="2"/>
      <x:c r="J60" s="2"/>
      <x:c r="K60" s="1"/>
      <x:c r="L60" s="1"/>
    </x:row>
    <x:row r="61" ht="21" customHeight="1">
      <x:c r="A61" s="1"/>
      <x:c r="B61" s="1"/>
      <x:c r="C61" s="1" t="str">
        <x:v>Issued shares / million</x:v>
      </x:c>
      <x:c r="D61" s="11" t="n">
        <x:v>40687.434244</x:v>
      </x:c>
      <x:c r="E61" s="2"/>
      <x:c r="F61" s="2"/>
      <x:c r="G61" s="2"/>
      <x:c r="H61" s="2"/>
      <x:c r="I61" s="2"/>
      <x:c r="J61" s="2"/>
      <x:c r="K61" s="1"/>
      <x:c r="L61" s="1"/>
    </x:row>
    <x:row r="62" ht="21" customHeight="1">
      <x:c r="A62" s="1"/>
      <x:c r="B62" s="1"/>
      <x:c r="C62" s="1" t="str">
        <x:v>Normalized tax</x:v>
      </x:c>
      <x:c r="D62" s="13" t="n">
        <x:v>0.22</x:v>
      </x:c>
      <x:c r="E62" s="2"/>
      <x:c r="F62" s="2"/>
      <x:c r="G62" s="2"/>
      <x:c r="H62" s="2"/>
      <x:c r="I62" s="2"/>
      <x:c r="J62" s="2"/>
      <x:c r="K62" s="1"/>
      <x:c r="L62" s="1"/>
    </x:row>
    <x:row r="63" ht="21" customHeight="1">
      <x:c r="A63" s="1"/>
      <x:c r="B63" s="1"/>
      <x:c r="C63" s="1" t="str">
        <x:v>Noncash lease capex / sales</x:v>
      </x:c>
      <x:c r="D63" s="13" t="n">
        <x:v>0.005</x:v>
      </x:c>
      <x:c r="E63" s="2"/>
      <x:c r="F63" s="2"/>
      <x:c r="G63" s="2"/>
      <x:c r="H63" s="2"/>
      <x:c r="I63" s="2"/>
      <x:c r="J63" s="2"/>
      <x:c r="K63" s="1"/>
      <x:c r="L63" s="1"/>
    </x:row>
    <x:row r="64" ht="21" customHeight="1">
      <x:c r="A64" s="1"/>
      <x:c r="B64" s="1"/>
      <x:c r="C64" s="1" t="str">
        <x:v>Source quality</x:v>
      </x:c>
      <x:c r="D64" s="13" t="n">
        <x:v>0.8</x:v>
      </x:c>
      <x:c r="E64" s="2"/>
      <x:c r="F64" s="2"/>
      <x:c r="G64" s="2"/>
      <x:c r="H64" s="2"/>
      <x:c r="I64" s="2"/>
      <x:c r="J64" s="2"/>
      <x:c r="K64" s="1"/>
      <x:c r="L64" s="1"/>
    </x:row>
    <x:row r="65" ht="21" customHeight="1">
      <x:c r="A65" s="1"/>
      <x:c r="B65" s="1"/>
      <x:c r="C65" s="1" t="str">
        <x:v>Forecast visibility</x:v>
      </x:c>
      <x:c r="D65" s="13" t="n">
        <x:v>0.4</x:v>
      </x:c>
      <x:c r="E65" s="2"/>
      <x:c r="F65" s="2"/>
      <x:c r="G65" s="2"/>
      <x:c r="H65" s="2"/>
      <x:c r="I65" s="2"/>
      <x:c r="J65" s="2"/>
      <x:c r="K65" s="1"/>
      <x:c r="L65" s="1"/>
    </x:row>
    <x:row r="66" ht="21" customHeight="1">
      <x:c r="A66" s="1"/>
      <x:c r="B66" s="1"/>
      <x:c r="C66" s="1" t="str">
        <x:v>Peer quality</x:v>
      </x:c>
      <x:c r="D66" s="13" t="n">
        <x:v>0.5</x:v>
      </x:c>
      <x:c r="E66" s="2"/>
      <x:c r="F66" s="2"/>
      <x:c r="G66" s="2"/>
      <x:c r="H66" s="2"/>
      <x:c r="I66" s="2"/>
      <x:c r="J66" s="2"/>
      <x:c r="K66" s="1"/>
      <x:c r="L66" s="1"/>
    </x:row>
    <x:row r="67" ht="21" customHeight="1">
      <x:c r="A67" s="1"/>
      <x:c r="B67" s="1"/>
      <x:c r="C67" s="1" t="str">
        <x:v>Asset observability</x:v>
      </x:c>
      <x:c r="D67" s="13" t="n">
        <x:v>0.3</x:v>
      </x:c>
      <x:c r="E67" s="2"/>
      <x:c r="F67" s="2"/>
      <x:c r="G67" s="2"/>
      <x:c r="H67" s="2"/>
      <x:c r="I67" s="2"/>
      <x:c r="J67" s="2"/>
      <x:c r="K67" s="1"/>
      <x:c r="L67" s="1"/>
    </x:row>
    <x:row r="68" ht="21" customHeight="1">
      <x:c r="A68" s="1"/>
      <x:c r="B68" s="1"/>
      <x:c r="C68" s="1" t="str">
        <x:v>Recommendation threshold</x:v>
      </x:c>
      <x:c r="D68" s="13" t="n">
        <x:v>0.2</x:v>
      </x:c>
      <x:c r="E68" s="2"/>
      <x:c r="F68" s="2"/>
      <x:c r="G68" s="2"/>
      <x:c r="H68" s="2"/>
      <x:c r="I68" s="2"/>
      <x:c r="J68" s="2"/>
      <x:c r="K68" s="1"/>
      <x:c r="L68" s="1"/>
    </x:row>
    <x:row r="69" ht="21" customHeight="1">
      <x:c r="A69" s="1"/>
      <x:c r="B69" s="1"/>
      <x:c r="C69" s="1" t="str">
        <x:v>Unresolved-data confidence penalty</x:v>
      </x:c>
      <x:c r="D69" s="11" t="n">
        <x:v>10</x:v>
      </x:c>
      <x:c r="E69" s="2"/>
      <x:c r="F69" s="2"/>
      <x:c r="G69" s="2"/>
      <x:c r="H69" s="2"/>
      <x:c r="I69" s="2"/>
      <x:c r="J69" s="2"/>
      <x:c r="K69" s="1"/>
      <x:c r="L69" s="1"/>
    </x:row>
    <x:row r="70" ht="21" customHeight="1">
      <x:c r="A70" s="1"/>
      <x:c r="B70" s="1"/>
      <x:c r="C70" s="1"/>
      <x:c r="D70" s="2"/>
      <x:c r="E70" s="2"/>
      <x:c r="F70" s="2"/>
      <x:c r="G70" s="2"/>
      <x:c r="H70" s="2"/>
      <x:c r="I70" s="2"/>
      <x:c r="J70" s="2"/>
      <x:c r="K70" s="1"/>
      <x:c r="L70" s="1"/>
    </x:row>
    <x:row r="71" ht="21" customHeight="1">
      <x:c r="A71" s="1"/>
      <x:c r="B71" s="1"/>
      <x:c r="C71" s="18" t="str">
        <x:v>Blue numbers are editable assumptions. All rates are nominal IDR.</x:v>
      </x:c>
      <x:c r="D71" s="19"/>
      <x:c r="E71" s="19"/>
      <x:c r="F71" s="19"/>
      <x:c r="G71" s="19"/>
      <x:c r="H71" s="19"/>
      <x:c r="I71" s="19"/>
      <x:c r="J71" s="19"/>
      <x:c r="K71" s="1"/>
      <x:c r="L71" s="1"/>
    </x:row>
    <x:row r="72" ht="21" customHeight="1">
      <x:c r="A72" s="1"/>
      <x:c r="B72" s="1"/>
      <x:c r="C72" s="18"/>
      <x:c r="D72" s="19"/>
      <x:c r="E72" s="19"/>
      <x:c r="F72" s="19"/>
      <x:c r="G72" s="19"/>
      <x:c r="H72" s="19"/>
      <x:c r="I72" s="19"/>
      <x:c r="J72" s="19"/>
      <x:c r="K72" s="1"/>
      <x:c r="L72" s="1"/>
    </x:row>
    <x:row r="73" ht="21" customHeight="1">
      <x:c r="A73" s="1"/>
      <x:c r="B73" s="1"/>
      <x:c r="C73" s="1"/>
      <x:c r="D73" s="2"/>
      <x:c r="E73" s="2"/>
      <x:c r="F73" s="2"/>
      <x:c r="G73" s="2"/>
      <x:c r="H73" s="2"/>
      <x:c r="I73" s="2"/>
      <x:c r="J73" s="2"/>
      <x:c r="K73" s="1"/>
      <x:c r="L73" s="1"/>
    </x:row>
    <x:row r="74" ht="21" customHeight="1">
      <x:c r="A74" s="1"/>
      <x:c r="B74" s="1"/>
      <x:c r="C74" s="1"/>
      <x:c r="D74" s="2"/>
      <x:c r="E74" s="2"/>
      <x:c r="F74" s="2"/>
      <x:c r="G74" s="2"/>
      <x:c r="H74" s="2"/>
      <x:c r="I74" s="2"/>
      <x:c r="J74" s="2"/>
      <x:c r="K74" s="1"/>
      <x:c r="L74" s="1"/>
    </x:row>
    <x:row r="75" ht="21" customHeight="1">
      <x:c r="A75" s="1"/>
      <x:c r="B75" s="1"/>
      <x:c r="C75" s="1"/>
      <x:c r="D75" s="2"/>
      <x:c r="E75" s="2"/>
      <x:c r="F75" s="2"/>
      <x:c r="G75" s="2"/>
      <x:c r="H75" s="2"/>
      <x:c r="I75" s="2"/>
      <x:c r="J75" s="2"/>
      <x:c r="K75" s="1"/>
      <x:c r="L75" s="1"/>
    </x:row>
    <x:row r="76" ht="21" customHeight="1">
      <x:c r="A76" s="1"/>
      <x:c r="B76" s="1"/>
      <x:c r="C76" s="1"/>
      <x:c r="D76" s="2"/>
      <x:c r="E76" s="2"/>
      <x:c r="F76" s="2"/>
      <x:c r="G76" s="2"/>
      <x:c r="H76" s="2"/>
      <x:c r="I76" s="2"/>
      <x:c r="J76" s="2"/>
      <x:c r="K76" s="1"/>
      <x:c r="L76" s="1"/>
    </x:row>
    <x:row r="77" ht="21" customHeight="1">
      <x:c r="A77" s="1"/>
      <x:c r="B77" s="1"/>
      <x:c r="C77" s="1"/>
      <x:c r="D77" s="2"/>
      <x:c r="E77" s="2"/>
      <x:c r="F77" s="2"/>
      <x:c r="G77" s="2"/>
      <x:c r="H77" s="2"/>
      <x:c r="I77" s="2"/>
      <x:c r="J77" s="2"/>
      <x:c r="K77" s="1"/>
      <x:c r="L77" s="1"/>
    </x:row>
    <x:row r="78" ht="21" customHeight="1">
      <x:c r="A78" s="1"/>
      <x:c r="B78" s="1"/>
      <x:c r="C78" s="1"/>
      <x:c r="D78" s="2"/>
      <x:c r="E78" s="2"/>
      <x:c r="F78" s="2"/>
      <x:c r="G78" s="2"/>
      <x:c r="H78" s="2"/>
      <x:c r="I78" s="2"/>
      <x:c r="J78" s="2"/>
      <x:c r="K78" s="1"/>
      <x:c r="L78" s="1"/>
    </x:row>
    <x:row r="79" ht="21" customHeight="1">
      <x:c r="A79" s="1"/>
      <x:c r="B79" s="1"/>
      <x:c r="C79" s="1"/>
      <x:c r="D79" s="2"/>
      <x:c r="E79" s="2"/>
      <x:c r="F79" s="2"/>
      <x:c r="G79" s="2"/>
      <x:c r="H79" s="2"/>
      <x:c r="I79" s="2"/>
      <x:c r="J79" s="2"/>
      <x:c r="K79" s="1"/>
      <x:c r="L79" s="1"/>
    </x:row>
    <x:row r="80" ht="21" customHeight="1">
      <x:c r="A80" s="1"/>
      <x:c r="B80" s="1"/>
      <x:c r="C80" s="1"/>
      <x:c r="D80" s="2"/>
      <x:c r="E80" s="2"/>
      <x:c r="F80" s="2"/>
      <x:c r="G80" s="2"/>
      <x:c r="H80" s="2"/>
      <x:c r="I80" s="2"/>
      <x:c r="J80" s="2"/>
      <x:c r="K80" s="1"/>
      <x:c r="L80" s="1"/>
    </x:row>
    <x:row r="81" ht="21" customHeight="1">
      <x:c r="A81" s="1"/>
      <x:c r="B81" s="1"/>
      <x:c r="C81" s="1"/>
      <x:c r="D81" s="2"/>
      <x:c r="E81" s="2"/>
      <x:c r="F81" s="2"/>
      <x:c r="G81" s="2"/>
      <x:c r="H81" s="2"/>
      <x:c r="I81" s="2"/>
      <x:c r="J81" s="2"/>
      <x:c r="K81" s="1"/>
      <x:c r="L81" s="1"/>
    </x:row>
    <x:row r="82" ht="21" customHeight="1">
      <x:c r="A82" s="1"/>
      <x:c r="B82" s="1"/>
      <x:c r="C82" s="1"/>
      <x:c r="D82" s="2"/>
      <x:c r="E82" s="2"/>
      <x:c r="F82" s="2"/>
      <x:c r="G82" s="2"/>
      <x:c r="H82" s="2"/>
      <x:c r="I82" s="2"/>
      <x:c r="J82" s="2"/>
      <x:c r="K82" s="1"/>
      <x:c r="L82" s="1"/>
    </x:row>
    <x:row r="83" ht="21" customHeight="1">
      <x:c r="A83" s="1"/>
      <x:c r="B83" s="1"/>
      <x:c r="C83" s="1"/>
      <x:c r="D83" s="2"/>
      <x:c r="E83" s="2"/>
      <x:c r="F83" s="2"/>
      <x:c r="G83" s="2"/>
      <x:c r="H83" s="2"/>
      <x:c r="I83" s="2"/>
      <x:c r="J83" s="2"/>
      <x:c r="K83" s="1"/>
      <x:c r="L83" s="1"/>
    </x:row>
    <x:row r="84" ht="21" customHeight="1">
      <x:c r="A84" s="1"/>
      <x:c r="B84" s="1"/>
      <x:c r="C84" s="1"/>
      <x:c r="D84" s="2"/>
      <x:c r="E84" s="2"/>
      <x:c r="F84" s="2"/>
      <x:c r="G84" s="2"/>
      <x:c r="H84" s="2"/>
      <x:c r="I84" s="2"/>
      <x:c r="J84" s="2"/>
      <x:c r="K84" s="1"/>
      <x:c r="L84" s="1"/>
    </x:row>
    <x:row r="85" ht="21" customHeight="1">
      <x:c r="A85" s="1"/>
      <x:c r="B85" s="1"/>
      <x:c r="C85" s="1"/>
      <x:c r="D85" s="2"/>
      <x:c r="E85" s="2"/>
      <x:c r="F85" s="2"/>
      <x:c r="G85" s="2"/>
      <x:c r="H85" s="2"/>
      <x:c r="I85" s="2"/>
      <x:c r="J85" s="2"/>
      <x:c r="K85" s="1"/>
      <x:c r="L85" s="1"/>
    </x:row>
    <x:row r="86" ht="21" customHeight="1">
      <x:c r="A86" s="1"/>
      <x:c r="B86" s="1"/>
      <x:c r="C86" s="1"/>
      <x:c r="D86" s="2"/>
      <x:c r="E86" s="2"/>
      <x:c r="F86" s="2"/>
      <x:c r="G86" s="2"/>
      <x:c r="H86" s="2"/>
      <x:c r="I86" s="2"/>
      <x:c r="J86" s="2"/>
      <x:c r="K86" s="1"/>
      <x:c r="L86" s="1"/>
    </x:row>
    <x:row r="87" ht="21" customHeight="1">
      <x:c r="A87" s="1"/>
      <x:c r="B87" s="1"/>
      <x:c r="C87" s="1"/>
      <x:c r="D87" s="2"/>
      <x:c r="E87" s="2"/>
      <x:c r="F87" s="2"/>
      <x:c r="G87" s="2"/>
      <x:c r="H87" s="2"/>
      <x:c r="I87" s="2"/>
      <x:c r="J87" s="2"/>
      <x:c r="K87" s="1"/>
      <x:c r="L87" s="1"/>
    </x:row>
    <x:row r="88" ht="21" customHeight="1">
      <x:c r="A88" s="1"/>
      <x:c r="B88" s="1"/>
      <x:c r="C88" s="1"/>
      <x:c r="D88" s="2"/>
      <x:c r="E88" s="2"/>
      <x:c r="F88" s="2"/>
      <x:c r="G88" s="2"/>
      <x:c r="H88" s="2"/>
      <x:c r="I88" s="2"/>
      <x:c r="J88" s="2"/>
      <x:c r="K88" s="1"/>
      <x:c r="L88" s="1"/>
    </x:row>
    <x:row r="89" ht="21" customHeight="1">
      <x:c r="A89" s="1"/>
      <x:c r="B89" s="1"/>
      <x:c r="C89" s="1"/>
      <x:c r="D89" s="2"/>
      <x:c r="E89" s="2"/>
      <x:c r="F89" s="2"/>
      <x:c r="G89" s="2"/>
      <x:c r="H89" s="2"/>
      <x:c r="I89" s="2"/>
      <x:c r="J89" s="2"/>
      <x:c r="K89" s="1"/>
      <x:c r="L89" s="1"/>
    </x:row>
    <x:row r="90" ht="21" customHeight="1">
      <x:c r="A90" s="1"/>
      <x:c r="B90" s="1"/>
      <x:c r="C90" s="1"/>
      <x:c r="D90" s="2"/>
      <x:c r="E90" s="2"/>
      <x:c r="F90" s="2"/>
      <x:c r="G90" s="2"/>
      <x:c r="H90" s="2"/>
      <x:c r="I90" s="2"/>
      <x:c r="J90" s="2"/>
      <x:c r="K90" s="1"/>
      <x:c r="L90" s="1"/>
    </x:row>
    <x:row r="91" ht="21" customHeight="1">
      <x:c r="A91" s="1"/>
      <x:c r="B91" s="1"/>
      <x:c r="C91" s="1"/>
      <x:c r="D91" s="2"/>
      <x:c r="E91" s="2"/>
      <x:c r="F91" s="2"/>
      <x:c r="G91" s="2"/>
      <x:c r="H91" s="2"/>
      <x:c r="I91" s="2"/>
      <x:c r="J91" s="2"/>
      <x:c r="K91" s="1"/>
      <x:c r="L91" s="1"/>
    </x:row>
    <x:row r="92" ht="21" customHeight="1">
      <x:c r="A92" s="1"/>
      <x:c r="B92" s="1"/>
      <x:c r="C92" s="1"/>
      <x:c r="D92" s="2"/>
      <x:c r="E92" s="2"/>
      <x:c r="F92" s="2"/>
      <x:c r="G92" s="2"/>
      <x:c r="H92" s="2"/>
      <x:c r="I92" s="2"/>
      <x:c r="J92" s="2"/>
      <x:c r="K92" s="1"/>
      <x:c r="L92" s="1"/>
    </x:row>
    <x:row r="93" ht="21" customHeight="1">
      <x:c r="A93" s="1"/>
      <x:c r="B93" s="1"/>
      <x:c r="C93" s="1"/>
      <x:c r="D93" s="2"/>
      <x:c r="E93" s="2"/>
      <x:c r="F93" s="2"/>
      <x:c r="G93" s="2"/>
      <x:c r="H93" s="2"/>
      <x:c r="I93" s="2"/>
      <x:c r="J93" s="2"/>
      <x:c r="K93" s="1"/>
      <x:c r="L93" s="1"/>
    </x:row>
    <x:row r="94" ht="21" customHeight="1">
      <x:c r="A94" s="1"/>
      <x:c r="B94" s="1"/>
      <x:c r="C94" s="1"/>
      <x:c r="D94" s="2"/>
      <x:c r="E94" s="2"/>
      <x:c r="F94" s="2"/>
      <x:c r="G94" s="2"/>
      <x:c r="H94" s="2"/>
      <x:c r="I94" s="2"/>
      <x:c r="J94" s="2"/>
      <x:c r="K94" s="1"/>
      <x:c r="L94" s="1"/>
    </x:row>
    <x:row r="95" ht="21" customHeight="1">
      <x:c r="A95" s="1"/>
      <x:c r="B95" s="1"/>
      <x:c r="C95" s="1"/>
      <x:c r="D95" s="2"/>
      <x:c r="E95" s="2"/>
      <x:c r="F95" s="2"/>
      <x:c r="G95" s="2"/>
      <x:c r="H95" s="2"/>
      <x:c r="I95" s="2"/>
      <x:c r="J95" s="2"/>
      <x:c r="K95" s="1"/>
      <x:c r="L95" s="1"/>
    </x:row>
    <x:row r="96" ht="21" customHeight="1">
      <x:c r="A96" s="1"/>
      <x:c r="B96" s="1"/>
      <x:c r="C96" s="1"/>
      <x:c r="D96" s="2"/>
      <x:c r="E96" s="2"/>
      <x:c r="F96" s="2"/>
      <x:c r="G96" s="2"/>
      <x:c r="H96" s="2"/>
      <x:c r="I96" s="2"/>
      <x:c r="J96" s="2"/>
      <x:c r="K96" s="1"/>
      <x:c r="L96" s="1"/>
    </x:row>
    <x:row r="97" ht="21" customHeight="1">
      <x:c r="A97" s="1"/>
      <x:c r="B97" s="1"/>
      <x:c r="C97" s="1"/>
      <x:c r="D97" s="2"/>
      <x:c r="E97" s="2"/>
      <x:c r="F97" s="2"/>
      <x:c r="G97" s="2"/>
      <x:c r="H97" s="2"/>
      <x:c r="I97" s="2"/>
      <x:c r="J97" s="2"/>
      <x:c r="K97" s="1"/>
      <x:c r="L97" s="1"/>
    </x:row>
    <x:row r="98" ht="21" customHeight="1">
      <x:c r="A98" s="1"/>
      <x:c r="B98" s="1"/>
      <x:c r="C98" s="1"/>
      <x:c r="D98" s="2"/>
      <x:c r="E98" s="2"/>
      <x:c r="F98" s="2"/>
      <x:c r="G98" s="2"/>
      <x:c r="H98" s="2"/>
      <x:c r="I98" s="2"/>
      <x:c r="J98" s="2"/>
      <x:c r="K98" s="1"/>
      <x:c r="L98" s="1"/>
    </x:row>
    <x:row r="99" ht="21" customHeight="1">
      <x:c r="A99" s="1"/>
      <x:c r="B99" s="1"/>
      <x:c r="C99" s="1"/>
      <x:c r="D99" s="2"/>
      <x:c r="E99" s="2"/>
      <x:c r="F99" s="2"/>
      <x:c r="G99" s="2"/>
      <x:c r="H99" s="2"/>
      <x:c r="I99" s="2"/>
      <x:c r="J99" s="2"/>
      <x:c r="K99" s="1"/>
      <x:c r="L99" s="1"/>
    </x:row>
    <x:row r="100" ht="21" customHeight="1">
      <x:c r="A100" s="1"/>
      <x:c r="B100" s="1"/>
      <x:c r="C100" s="1"/>
      <x:c r="D100" s="2"/>
      <x:c r="E100" s="2"/>
      <x:c r="F100" s="2"/>
      <x:c r="G100" s="2"/>
      <x:c r="H100" s="2"/>
      <x:c r="I100" s="2"/>
      <x:c r="J100" s="2"/>
      <x:c r="K100" s="1"/>
      <x:c r="L100" s="1"/>
    </x:row>
    <x:row r="101" ht="21" customHeight="1">
      <x:c r="A101" s="1"/>
      <x:c r="B101" s="1"/>
      <x:c r="C101" s="1"/>
      <x:c r="D101" s="2"/>
      <x:c r="E101" s="2"/>
      <x:c r="F101" s="2"/>
      <x:c r="G101" s="2"/>
      <x:c r="H101" s="2"/>
      <x:c r="I101" s="2"/>
      <x:c r="J101" s="2"/>
      <x:c r="K101" s="1"/>
      <x:c r="L101" s="1"/>
    </x:row>
    <x:row r="102" ht="21" customHeight="1">
      <x:c r="A102" s="1"/>
      <x:c r="B102" s="1"/>
      <x:c r="C102" s="1"/>
      <x:c r="D102" s="2"/>
      <x:c r="E102" s="2"/>
      <x:c r="F102" s="2"/>
      <x:c r="G102" s="2"/>
      <x:c r="H102" s="2"/>
      <x:c r="I102" s="2"/>
      <x:c r="J102" s="2"/>
      <x:c r="K102" s="1"/>
      <x:c r="L102" s="1"/>
    </x:row>
    <x:row r="103" ht="21" customHeight="1">
      <x:c r="A103" s="1"/>
      <x:c r="B103" s="1"/>
      <x:c r="C103" s="1"/>
      <x:c r="D103" s="2"/>
      <x:c r="E103" s="2"/>
      <x:c r="F103" s="2"/>
      <x:c r="G103" s="2"/>
      <x:c r="H103" s="2"/>
      <x:c r="I103" s="2"/>
      <x:c r="J103" s="2"/>
      <x:c r="K103" s="1"/>
      <x:c r="L103" s="1"/>
    </x:row>
    <x:row r="104" ht="21" customHeight="1">
      <x:c r="A104" s="1"/>
      <x:c r="B104" s="1"/>
      <x:c r="C104" s="1"/>
      <x:c r="D104" s="2"/>
      <x:c r="E104" s="2"/>
      <x:c r="F104" s="2"/>
      <x:c r="G104" s="2"/>
      <x:c r="H104" s="2"/>
      <x:c r="I104" s="2"/>
      <x:c r="J104" s="2"/>
      <x:c r="K104" s="1"/>
      <x:c r="L104" s="1"/>
    </x:row>
    <x:row r="105" ht="21" customHeight="1">
      <x:c r="A105" s="1"/>
      <x:c r="B105" s="1"/>
      <x:c r="C105" s="1"/>
      <x:c r="D105" s="2"/>
      <x:c r="E105" s="2"/>
      <x:c r="F105" s="2"/>
      <x:c r="G105" s="2"/>
      <x:c r="H105" s="2"/>
      <x:c r="I105" s="2"/>
      <x:c r="J105" s="2"/>
      <x:c r="K105" s="1"/>
      <x:c r="L105" s="1"/>
    </x:row>
    <x:row r="106" ht="21" customHeight="1">
      <x:c r="A106" s="1"/>
      <x:c r="B106" s="1"/>
      <x:c r="C106" s="1"/>
      <x:c r="D106" s="2"/>
      <x:c r="E106" s="2"/>
      <x:c r="F106" s="2"/>
      <x:c r="G106" s="2"/>
      <x:c r="H106" s="2"/>
      <x:c r="I106" s="2"/>
      <x:c r="J106" s="2"/>
      <x:c r="K106" s="1"/>
      <x:c r="L106" s="1"/>
    </x:row>
    <x:row r="107" ht="21" customHeight="1">
      <x:c r="A107" s="1"/>
      <x:c r="B107" s="1"/>
      <x:c r="C107" s="1"/>
      <x:c r="D107" s="2"/>
      <x:c r="E107" s="2"/>
      <x:c r="F107" s="2"/>
      <x:c r="G107" s="2"/>
      <x:c r="H107" s="2"/>
      <x:c r="I107" s="2"/>
      <x:c r="J107" s="2"/>
      <x:c r="K107" s="1"/>
      <x:c r="L107" s="1"/>
    </x:row>
    <x:row r="108" ht="21" customHeight="1">
      <x:c r="A108" s="1"/>
      <x:c r="B108" s="1"/>
      <x:c r="C108" s="1"/>
      <x:c r="D108" s="2"/>
      <x:c r="E108" s="2"/>
      <x:c r="F108" s="2"/>
      <x:c r="G108" s="2"/>
      <x:c r="H108" s="2"/>
      <x:c r="I108" s="2"/>
      <x:c r="J108" s="2"/>
      <x:c r="K108" s="1"/>
      <x:c r="L108" s="1"/>
    </x:row>
    <x:row r="109" ht="21" customHeight="1">
      <x:c r="A109" s="1"/>
      <x:c r="B109" s="1"/>
      <x:c r="C109" s="1"/>
      <x:c r="D109" s="2"/>
      <x:c r="E109" s="2"/>
      <x:c r="F109" s="2"/>
      <x:c r="G109" s="2"/>
      <x:c r="H109" s="2"/>
      <x:c r="I109" s="2"/>
      <x:c r="J109" s="2"/>
      <x:c r="K109" s="1"/>
      <x:c r="L109" s="1"/>
    </x:row>
    <x:row r="110" ht="21" customHeight="1">
      <x:c r="A110" s="1"/>
      <x:c r="B110" s="1"/>
      <x:c r="C110" s="1"/>
      <x:c r="D110" s="2"/>
      <x:c r="E110" s="2"/>
      <x:c r="F110" s="2"/>
      <x:c r="G110" s="2"/>
      <x:c r="H110" s="2"/>
      <x:c r="I110" s="2"/>
      <x:c r="J110" s="2"/>
      <x:c r="K110" s="1"/>
      <x:c r="L110" s="1"/>
    </x:row>
    <x:row r="111" ht="21" customHeight="1">
      <x:c r="A111" s="1"/>
      <x:c r="B111" s="1"/>
      <x:c r="C111" s="1"/>
      <x:c r="D111" s="2"/>
      <x:c r="E111" s="2"/>
      <x:c r="F111" s="2"/>
      <x:c r="G111" s="2"/>
      <x:c r="H111" s="2"/>
      <x:c r="I111" s="2"/>
      <x:c r="J111" s="2"/>
      <x:c r="K111" s="1"/>
      <x:c r="L111" s="1"/>
    </x:row>
    <x:row r="112" ht="21" customHeight="1">
      <x:c r="A112" s="1"/>
      <x:c r="B112" s="1"/>
      <x:c r="C112" s="1"/>
      <x:c r="D112" s="2"/>
      <x:c r="E112" s="2"/>
      <x:c r="F112" s="2"/>
      <x:c r="G112" s="2"/>
      <x:c r="H112" s="2"/>
      <x:c r="I112" s="2"/>
      <x:c r="J112" s="2"/>
      <x:c r="K112" s="1"/>
      <x:c r="L112" s="1"/>
    </x:row>
    <x:row r="113" ht="21" customHeight="1">
      <x:c r="A113" s="1"/>
      <x:c r="B113" s="1"/>
      <x:c r="C113" s="1"/>
      <x:c r="D113" s="2"/>
      <x:c r="E113" s="2"/>
      <x:c r="F113" s="2"/>
      <x:c r="G113" s="2"/>
      <x:c r="H113" s="2"/>
      <x:c r="I113" s="2"/>
      <x:c r="J113" s="2"/>
      <x:c r="K113" s="1"/>
      <x:c r="L113" s="1"/>
    </x:row>
    <x:row r="114" ht="21" customHeight="1">
      <x:c r="A114" s="1"/>
      <x:c r="B114" s="1"/>
      <x:c r="C114" s="1"/>
      <x:c r="D114" s="2"/>
      <x:c r="E114" s="2"/>
      <x:c r="F114" s="2"/>
      <x:c r="G114" s="2"/>
      <x:c r="H114" s="2"/>
      <x:c r="I114" s="2"/>
      <x:c r="J114" s="2"/>
      <x:c r="K114" s="1"/>
      <x:c r="L114" s="1"/>
    </x:row>
    <x:row r="115" ht="21" customHeight="1">
      <x:c r="A115" s="1"/>
      <x:c r="B115" s="1"/>
      <x:c r="C115" s="1"/>
      <x:c r="D115" s="2"/>
      <x:c r="E115" s="2"/>
      <x:c r="F115" s="2"/>
      <x:c r="G115" s="2"/>
      <x:c r="H115" s="2"/>
      <x:c r="I115" s="2"/>
      <x:c r="J115" s="2"/>
      <x:c r="K115" s="1"/>
      <x:c r="L115" s="1"/>
    </x:row>
    <x:row r="116" ht="21" customHeight="1">
      <x:c r="A116" s="1"/>
      <x:c r="B116" s="1"/>
      <x:c r="C116" s="1"/>
      <x:c r="D116" s="2"/>
      <x:c r="E116" s="2"/>
      <x:c r="F116" s="2"/>
      <x:c r="G116" s="2"/>
      <x:c r="H116" s="2"/>
      <x:c r="I116" s="2"/>
      <x:c r="J116" s="2"/>
      <x:c r="K116" s="1"/>
      <x:c r="L116" s="1"/>
    </x:row>
    <x:row r="117" ht="21" customHeight="1">
      <x:c r="A117" s="1"/>
      <x:c r="B117" s="1"/>
      <x:c r="C117" s="1"/>
      <x:c r="D117" s="2"/>
      <x:c r="E117" s="2"/>
      <x:c r="F117" s="2"/>
      <x:c r="G117" s="2"/>
      <x:c r="H117" s="2"/>
      <x:c r="I117" s="2"/>
      <x:c r="J117" s="2"/>
      <x:c r="K117" s="1"/>
      <x:c r="L117" s="1"/>
    </x:row>
    <x:row r="118" ht="21" customHeight="1">
      <x:c r="A118" s="1"/>
      <x:c r="B118" s="1"/>
      <x:c r="C118" s="1"/>
      <x:c r="D118" s="2"/>
      <x:c r="E118" s="2"/>
      <x:c r="F118" s="2"/>
      <x:c r="G118" s="2"/>
      <x:c r="H118" s="2"/>
      <x:c r="I118" s="2"/>
      <x:c r="J118" s="2"/>
      <x:c r="K118" s="1"/>
      <x:c r="L118" s="1"/>
    </x:row>
    <x:row r="119" ht="21" customHeight="1">
      <x:c r="A119" s="1"/>
      <x:c r="B119" s="1"/>
      <x:c r="C119" s="1"/>
      <x:c r="D119" s="2"/>
      <x:c r="E119" s="2"/>
      <x:c r="F119" s="2"/>
      <x:c r="G119" s="2"/>
      <x:c r="H119" s="2"/>
      <x:c r="I119" s="2"/>
      <x:c r="J119" s="2"/>
      <x:c r="K119" s="1"/>
      <x:c r="L119" s="1"/>
    </x:row>
    <x:row r="120" ht="21" customHeight="1">
      <x:c r="A120" s="1"/>
      <x:c r="B120" s="1"/>
      <x:c r="C120" s="1"/>
      <x:c r="D120" s="2"/>
      <x:c r="E120" s="2"/>
      <x:c r="F120" s="2"/>
      <x:c r="G120" s="2"/>
      <x:c r="H120" s="2"/>
      <x:c r="I120" s="2"/>
      <x:c r="J120" s="2"/>
      <x:c r="K120" s="1"/>
      <x:c r="L120" s="1"/>
    </x:row>
    <x:row r="121" ht="21" customHeight="1">
      <x:c r="A121" s="1"/>
      <x:c r="B121" s="1"/>
      <x:c r="C121" s="1"/>
      <x:c r="D121" s="2"/>
      <x:c r="E121" s="2"/>
      <x:c r="F121" s="2"/>
      <x:c r="G121" s="2"/>
      <x:c r="H121" s="2"/>
      <x:c r="I121" s="2"/>
      <x:c r="J121" s="2"/>
      <x:c r="K121" s="1"/>
      <x:c r="L121" s="1"/>
    </x:row>
    <x:row r="122" ht="21" customHeight="1">
      <x:c r="A122" s="1"/>
      <x:c r="B122" s="1"/>
      <x:c r="C122" s="1"/>
      <x:c r="D122" s="2"/>
      <x:c r="E122" s="2"/>
      <x:c r="F122" s="2"/>
      <x:c r="G122" s="2"/>
      <x:c r="H122" s="2"/>
      <x:c r="I122" s="2"/>
      <x:c r="J122" s="2"/>
      <x:c r="K122" s="1"/>
      <x:c r="L122" s="1"/>
    </x:row>
    <x:row r="123" ht="21" customHeight="1">
      <x:c r="A123" s="1"/>
      <x:c r="B123" s="1"/>
      <x:c r="C123" s="1"/>
      <x:c r="D123" s="2"/>
      <x:c r="E123" s="2"/>
      <x:c r="F123" s="2"/>
      <x:c r="G123" s="2"/>
      <x:c r="H123" s="2"/>
      <x:c r="I123" s="2"/>
      <x:c r="J123" s="2"/>
      <x:c r="K123" s="1"/>
      <x:c r="L123" s="1"/>
    </x:row>
    <x:row r="124" ht="21" customHeight="1">
      <x:c r="A124" s="1"/>
      <x:c r="B124" s="1"/>
      <x:c r="C124" s="1"/>
      <x:c r="D124" s="2"/>
      <x:c r="E124" s="2"/>
      <x:c r="F124" s="2"/>
      <x:c r="G124" s="2"/>
      <x:c r="H124" s="2"/>
      <x:c r="I124" s="2"/>
      <x:c r="J124" s="2"/>
      <x:c r="K124" s="1"/>
      <x:c r="L124" s="1"/>
    </x:row>
    <x:row r="125" ht="21" customHeight="1">
      <x:c r="A125" s="1"/>
      <x:c r="B125" s="1"/>
      <x:c r="C125" s="1"/>
      <x:c r="D125" s="2"/>
      <x:c r="E125" s="2"/>
      <x:c r="F125" s="2"/>
      <x:c r="G125" s="2"/>
      <x:c r="H125" s="2"/>
      <x:c r="I125" s="2"/>
      <x:c r="J125" s="2"/>
      <x:c r="K125" s="1"/>
      <x:c r="L125" s="1"/>
    </x:row>
    <x:row r="126" ht="21" customHeight="1">
      <x:c r="A126" s="1"/>
      <x:c r="B126" s="1"/>
      <x:c r="C126" s="1"/>
      <x:c r="D126" s="2"/>
      <x:c r="E126" s="2"/>
      <x:c r="F126" s="2"/>
      <x:c r="G126" s="2"/>
      <x:c r="H126" s="2"/>
      <x:c r="I126" s="2"/>
      <x:c r="J126" s="2"/>
      <x:c r="K126" s="1"/>
      <x:c r="L126" s="1"/>
    </x:row>
    <x:row r="127" ht="21" customHeight="1">
      <x:c r="A127" s="1"/>
      <x:c r="B127" s="1"/>
      <x:c r="C127" s="1"/>
      <x:c r="D127" s="2"/>
      <x:c r="E127" s="2"/>
      <x:c r="F127" s="2"/>
      <x:c r="G127" s="2"/>
      <x:c r="H127" s="2"/>
      <x:c r="I127" s="2"/>
      <x:c r="J127" s="2"/>
      <x:c r="K127" s="1"/>
      <x:c r="L127" s="1"/>
    </x:row>
    <x:row r="128" ht="21" customHeight="1">
      <x:c r="A128" s="1"/>
      <x:c r="B128" s="1"/>
      <x:c r="C128" s="1"/>
      <x:c r="D128" s="2"/>
      <x:c r="E128" s="2"/>
      <x:c r="F128" s="2"/>
      <x:c r="G128" s="2"/>
      <x:c r="H128" s="2"/>
      <x:c r="I128" s="2"/>
      <x:c r="J128" s="2"/>
      <x:c r="K128" s="1"/>
      <x:c r="L128" s="1"/>
    </x:row>
    <x:row r="129" ht="21" customHeight="1">
      <x:c r="A129" s="1"/>
      <x:c r="B129" s="1"/>
      <x:c r="C129" s="1"/>
      <x:c r="D129" s="2"/>
      <x:c r="E129" s="2"/>
      <x:c r="F129" s="2"/>
      <x:c r="G129" s="2"/>
      <x:c r="H129" s="2"/>
      <x:c r="I129" s="2"/>
      <x:c r="J129" s="2"/>
      <x:c r="K129" s="1"/>
      <x:c r="L129" s="1"/>
    </x:row>
    <x:row r="130" ht="21" customHeight="1">
      <x:c r="A130" s="1"/>
      <x:c r="B130" s="1"/>
      <x:c r="C130" s="1"/>
      <x:c r="D130" s="2"/>
      <x:c r="E130" s="2"/>
      <x:c r="F130" s="2"/>
      <x:c r="G130" s="2"/>
      <x:c r="H130" s="2"/>
      <x:c r="I130" s="2"/>
      <x:c r="J130" s="2"/>
      <x:c r="K130" s="1"/>
      <x:c r="L130" s="1"/>
    </x:row>
    <x:row r="131" ht="21" customHeight="1">
      <x:c r="A131" s="1"/>
      <x:c r="B131" s="1"/>
      <x:c r="C131" s="1"/>
      <x:c r="D131" s="2"/>
      <x:c r="E131" s="2"/>
      <x:c r="F131" s="2"/>
      <x:c r="G131" s="2"/>
      <x:c r="H131" s="2"/>
      <x:c r="I131" s="2"/>
      <x:c r="J131" s="2"/>
      <x:c r="K131" s="1"/>
      <x:c r="L131" s="1"/>
    </x:row>
    <x:row r="132" ht="21" customHeight="1">
      <x:c r="A132" s="1"/>
      <x:c r="B132" s="1"/>
      <x:c r="C132" s="1"/>
      <x:c r="D132" s="2"/>
      <x:c r="E132" s="2"/>
      <x:c r="F132" s="2"/>
      <x:c r="G132" s="2"/>
      <x:c r="H132" s="2"/>
      <x:c r="I132" s="2"/>
      <x:c r="J132" s="2"/>
      <x:c r="K132" s="1"/>
      <x:c r="L132" s="1"/>
    </x:row>
    <x:row r="133" ht="21" customHeight="1">
      <x:c r="A133" s="1"/>
      <x:c r="B133" s="1"/>
      <x:c r="C133" s="1"/>
      <x:c r="D133" s="2"/>
      <x:c r="E133" s="2"/>
      <x:c r="F133" s="2"/>
      <x:c r="G133" s="2"/>
      <x:c r="H133" s="2"/>
      <x:c r="I133" s="2"/>
      <x:c r="J133" s="2"/>
      <x:c r="K133" s="1"/>
      <x:c r="L133" s="1"/>
    </x:row>
    <x:row r="134" ht="21" customHeight="1">
      <x:c r="A134" s="1"/>
      <x:c r="B134" s="1"/>
      <x:c r="C134" s="1"/>
      <x:c r="D134" s="2"/>
      <x:c r="E134" s="2"/>
      <x:c r="F134" s="2"/>
      <x:c r="G134" s="2"/>
      <x:c r="H134" s="2"/>
      <x:c r="I134" s="2"/>
      <x:c r="J134" s="2"/>
      <x:c r="K134" s="1"/>
      <x:c r="L134" s="1"/>
    </x:row>
    <x:row r="135" ht="21" customHeight="1">
      <x:c r="A135" s="1"/>
      <x:c r="B135" s="1"/>
      <x:c r="C135" s="1"/>
      <x:c r="D135" s="2"/>
      <x:c r="E135" s="2"/>
      <x:c r="F135" s="2"/>
      <x:c r="G135" s="2"/>
      <x:c r="H135" s="2"/>
      <x:c r="I135" s="2"/>
      <x:c r="J135" s="2"/>
      <x:c r="K135" s="1"/>
      <x:c r="L135" s="1"/>
    </x:row>
    <x:row r="136" ht="21" customHeight="1">
      <x:c r="A136" s="1"/>
      <x:c r="B136" s="1"/>
      <x:c r="C136" s="1"/>
      <x:c r="D136" s="2"/>
      <x:c r="E136" s="2"/>
      <x:c r="F136" s="2"/>
      <x:c r="G136" s="2"/>
      <x:c r="H136" s="2"/>
      <x:c r="I136" s="2"/>
      <x:c r="J136" s="2"/>
      <x:c r="K136" s="1"/>
      <x:c r="L136" s="1"/>
    </x:row>
    <x:row r="137" ht="21" customHeight="1">
      <x:c r="A137" s="1"/>
      <x:c r="B137" s="1"/>
      <x:c r="C137" s="1"/>
      <x:c r="D137" s="2"/>
      <x:c r="E137" s="2"/>
      <x:c r="F137" s="2"/>
      <x:c r="G137" s="2"/>
      <x:c r="H137" s="2"/>
      <x:c r="I137" s="2"/>
      <x:c r="J137" s="2"/>
      <x:c r="K137" s="1"/>
      <x:c r="L137" s="1"/>
    </x:row>
    <x:row r="138" ht="21" customHeight="1">
      <x:c r="A138" s="1"/>
      <x:c r="B138" s="1"/>
      <x:c r="C138" s="1"/>
      <x:c r="D138" s="2"/>
      <x:c r="E138" s="2"/>
      <x:c r="F138" s="2"/>
      <x:c r="G138" s="2"/>
      <x:c r="H138" s="2"/>
      <x:c r="I138" s="2"/>
      <x:c r="J138" s="2"/>
      <x:c r="K138" s="1"/>
      <x:c r="L138" s="1"/>
    </x:row>
    <x:row r="139" ht="21" customHeight="1">
      <x:c r="A139" s="1"/>
      <x:c r="B139" s="1"/>
      <x:c r="C139" s="1"/>
      <x:c r="D139" s="2"/>
      <x:c r="E139" s="2"/>
      <x:c r="F139" s="2"/>
      <x:c r="G139" s="2"/>
      <x:c r="H139" s="2"/>
      <x:c r="I139" s="2"/>
      <x:c r="J139" s="2"/>
      <x:c r="K139" s="1"/>
      <x:c r="L139" s="1"/>
    </x:row>
    <x:row r="140" ht="21" customHeight="1">
      <x:c r="A140" s="1"/>
      <x:c r="B140" s="1"/>
      <x:c r="C140" s="1"/>
      <x:c r="D140" s="2"/>
      <x:c r="E140" s="2"/>
      <x:c r="F140" s="2"/>
      <x:c r="G140" s="2"/>
      <x:c r="H140" s="2"/>
      <x:c r="I140" s="2"/>
      <x:c r="J140" s="2"/>
      <x:c r="K140" s="1"/>
      <x:c r="L140" s="1"/>
    </x:row>
    <x:row r="141" ht="21" customHeight="1">
      <x:c r="A141" s="1"/>
      <x:c r="B141" s="1"/>
      <x:c r="C141" s="1"/>
      <x:c r="D141" s="2"/>
      <x:c r="E141" s="2"/>
      <x:c r="F141" s="2"/>
      <x:c r="G141" s="2"/>
      <x:c r="H141" s="2"/>
      <x:c r="I141" s="2"/>
      <x:c r="J141" s="2"/>
      <x:c r="K141" s="1"/>
      <x:c r="L141" s="1"/>
    </x:row>
    <x:row r="142" ht="21" customHeight="1">
      <x:c r="A142" s="1"/>
      <x:c r="B142" s="1"/>
      <x:c r="C142" s="1"/>
      <x:c r="D142" s="2"/>
      <x:c r="E142" s="2"/>
      <x:c r="F142" s="2"/>
      <x:c r="G142" s="2"/>
      <x:c r="H142" s="2"/>
      <x:c r="I142" s="2"/>
      <x:c r="J142" s="2"/>
      <x:c r="K142" s="1"/>
      <x:c r="L142" s="1"/>
    </x:row>
    <x:row r="143" ht="21" customHeight="1">
      <x:c r="A143" s="1"/>
      <x:c r="B143" s="1"/>
      <x:c r="C143" s="1"/>
      <x:c r="D143" s="2"/>
      <x:c r="E143" s="2"/>
      <x:c r="F143" s="2"/>
      <x:c r="G143" s="2"/>
      <x:c r="H143" s="2"/>
      <x:c r="I143" s="2"/>
      <x:c r="J143" s="2"/>
      <x:c r="K143" s="1"/>
      <x:c r="L143" s="1"/>
    </x:row>
    <x:row r="144" ht="21" customHeight="1">
      <x:c r="A144" s="1"/>
      <x:c r="B144" s="1"/>
      <x:c r="C144" s="1"/>
      <x:c r="D144" s="2"/>
      <x:c r="E144" s="2"/>
      <x:c r="F144" s="2"/>
      <x:c r="G144" s="2"/>
      <x:c r="H144" s="2"/>
      <x:c r="I144" s="2"/>
      <x:c r="J144" s="2"/>
      <x:c r="K144" s="1"/>
      <x:c r="L144" s="1"/>
    </x:row>
    <x:row r="145" ht="21" customHeight="1">
      <x:c r="A145" s="1"/>
      <x:c r="B145" s="1"/>
      <x:c r="C145" s="1"/>
      <x:c r="D145" s="2"/>
      <x:c r="E145" s="2"/>
      <x:c r="F145" s="2"/>
      <x:c r="G145" s="2"/>
      <x:c r="H145" s="2"/>
      <x:c r="I145" s="2"/>
      <x:c r="J145" s="2"/>
      <x:c r="K145" s="1"/>
      <x:c r="L145" s="1"/>
    </x:row>
    <x:row r="146" ht="21" customHeight="1">
      <x:c r="A146" s="1"/>
      <x:c r="B146" s="1"/>
      <x:c r="C146" s="1"/>
      <x:c r="D146" s="2"/>
      <x:c r="E146" s="2"/>
      <x:c r="F146" s="2"/>
      <x:c r="G146" s="2"/>
      <x:c r="H146" s="2"/>
      <x:c r="I146" s="2"/>
      <x:c r="J146" s="2"/>
      <x:c r="K146" s="1"/>
      <x:c r="L146" s="1"/>
    </x:row>
    <x:row r="147" ht="21" customHeight="1">
      <x:c r="A147" s="1"/>
      <x:c r="B147" s="1"/>
      <x:c r="C147" s="1"/>
      <x:c r="D147" s="2"/>
      <x:c r="E147" s="2"/>
      <x:c r="F147" s="2"/>
      <x:c r="G147" s="2"/>
      <x:c r="H147" s="2"/>
      <x:c r="I147" s="2"/>
      <x:c r="J147" s="2"/>
      <x:c r="K147" s="1"/>
      <x:c r="L147" s="1"/>
    </x:row>
    <x:row r="148" ht="21" customHeight="1">
      <x:c r="A148" s="1"/>
      <x:c r="B148" s="1"/>
      <x:c r="C148" s="1"/>
      <x:c r="D148" s="2"/>
      <x:c r="E148" s="2"/>
      <x:c r="F148" s="2"/>
      <x:c r="G148" s="2"/>
      <x:c r="H148" s="2"/>
      <x:c r="I148" s="2"/>
      <x:c r="J148" s="2"/>
      <x:c r="K148" s="1"/>
      <x:c r="L148" s="1"/>
    </x:row>
    <x:row r="149" ht="21" customHeight="1">
      <x:c r="A149" s="1"/>
      <x:c r="B149" s="1"/>
      <x:c r="C149" s="1"/>
      <x:c r="D149" s="2"/>
      <x:c r="E149" s="2"/>
      <x:c r="F149" s="2"/>
      <x:c r="G149" s="2"/>
      <x:c r="H149" s="2"/>
      <x:c r="I149" s="2"/>
      <x:c r="J149" s="2"/>
      <x:c r="K149" s="1"/>
      <x:c r="L149" s="1"/>
    </x:row>
    <x:row r="150" ht="21" customHeight="1">
      <x:c r="A150" s="1"/>
      <x:c r="B150" s="1"/>
      <x:c r="C150" s="1"/>
      <x:c r="D150" s="2"/>
      <x:c r="E150" s="2"/>
      <x:c r="F150" s="2"/>
      <x:c r="G150" s="2"/>
      <x:c r="H150" s="2"/>
      <x:c r="I150" s="2"/>
      <x:c r="J150" s="2"/>
      <x:c r="K150" s="1"/>
      <x:c r="L150" s="1"/>
    </x:row>
    <x:row r="151" ht="21" customHeight="1">
      <x:c r="A151" s="1"/>
      <x:c r="B151" s="1"/>
      <x:c r="C151" s="1"/>
      <x:c r="D151" s="2"/>
      <x:c r="E151" s="2"/>
      <x:c r="F151" s="2"/>
      <x:c r="G151" s="2"/>
      <x:c r="H151" s="2"/>
      <x:c r="I151" s="2"/>
      <x:c r="J151" s="2"/>
      <x:c r="K151" s="1"/>
      <x:c r="L151" s="1"/>
    </x:row>
    <x:row r="152" ht="21" customHeight="1">
      <x:c r="A152" s="1"/>
      <x:c r="B152" s="1"/>
      <x:c r="C152" s="1"/>
      <x:c r="D152" s="2"/>
      <x:c r="E152" s="2"/>
      <x:c r="F152" s="2"/>
      <x:c r="G152" s="2"/>
      <x:c r="H152" s="2"/>
      <x:c r="I152" s="2"/>
      <x:c r="J152" s="2"/>
      <x:c r="K152" s="1"/>
      <x:c r="L152" s="1"/>
    </x:row>
    <x:row r="153" ht="21" customHeight="1">
      <x:c r="A153" s="1"/>
      <x:c r="B153" s="1"/>
      <x:c r="C153" s="1"/>
      <x:c r="D153" s="2"/>
      <x:c r="E153" s="2"/>
      <x:c r="F153" s="2"/>
      <x:c r="G153" s="2"/>
      <x:c r="H153" s="2"/>
      <x:c r="I153" s="2"/>
      <x:c r="J153" s="2"/>
      <x:c r="K153" s="1"/>
      <x:c r="L153" s="1"/>
    </x:row>
    <x:row r="154" ht="21" customHeight="1">
      <x:c r="A154" s="1"/>
      <x:c r="B154" s="1"/>
      <x:c r="C154" s="1"/>
      <x:c r="D154" s="2"/>
      <x:c r="E154" s="2"/>
      <x:c r="F154" s="2"/>
      <x:c r="G154" s="2"/>
      <x:c r="H154" s="2"/>
      <x:c r="I154" s="2"/>
      <x:c r="J154" s="2"/>
      <x:c r="K154" s="1"/>
      <x:c r="L154" s="1"/>
    </x:row>
    <x:row r="155" ht="21" customHeight="1">
      <x:c r="A155" s="1"/>
      <x:c r="B155" s="1"/>
      <x:c r="C155" s="1"/>
      <x:c r="D155" s="2"/>
      <x:c r="E155" s="2"/>
      <x:c r="F155" s="2"/>
      <x:c r="G155" s="2"/>
      <x:c r="H155" s="2"/>
      <x:c r="I155" s="2"/>
      <x:c r="J155" s="2"/>
      <x:c r="K155" s="1"/>
      <x:c r="L155" s="1"/>
    </x:row>
    <x:row r="156" ht="21" customHeight="1">
      <x:c r="A156" s="1"/>
      <x:c r="B156" s="1"/>
      <x:c r="C156" s="1"/>
      <x:c r="D156" s="2"/>
      <x:c r="E156" s="2"/>
      <x:c r="F156" s="2"/>
      <x:c r="G156" s="2"/>
      <x:c r="H156" s="2"/>
      <x:c r="I156" s="2"/>
      <x:c r="J156" s="2"/>
      <x:c r="K156" s="1"/>
      <x:c r="L156" s="1"/>
    </x:row>
    <x:row r="157" ht="21" customHeight="1">
      <x:c r="A157" s="1"/>
      <x:c r="B157" s="1"/>
      <x:c r="C157" s="1"/>
      <x:c r="D157" s="2"/>
      <x:c r="E157" s="2"/>
      <x:c r="F157" s="2"/>
      <x:c r="G157" s="2"/>
      <x:c r="H157" s="2"/>
      <x:c r="I157" s="2"/>
      <x:c r="J157" s="2"/>
      <x:c r="K157" s="1"/>
      <x:c r="L157" s="1"/>
    </x:row>
    <x:row r="158" ht="21" customHeight="1">
      <x:c r="A158" s="1"/>
      <x:c r="B158" s="1"/>
      <x:c r="C158" s="1"/>
      <x:c r="D158" s="2"/>
      <x:c r="E158" s="2"/>
      <x:c r="F158" s="2"/>
      <x:c r="G158" s="2"/>
      <x:c r="H158" s="2"/>
      <x:c r="I158" s="2"/>
      <x:c r="J158" s="2"/>
      <x:c r="K158" s="1"/>
      <x:c r="L158" s="1"/>
    </x:row>
    <x:row r="159" ht="21" customHeight="1">
      <x:c r="A159" s="1"/>
      <x:c r="B159" s="1"/>
      <x:c r="C159" s="1"/>
      <x:c r="D159" s="2"/>
      <x:c r="E159" s="2"/>
      <x:c r="F159" s="2"/>
      <x:c r="G159" s="2"/>
      <x:c r="H159" s="2"/>
      <x:c r="I159" s="2"/>
      <x:c r="J159" s="2"/>
      <x:c r="K159" s="1"/>
      <x:c r="L159" s="1"/>
    </x:row>
    <x:row r="160" ht="21" customHeight="1">
      <x:c r="A160" s="1"/>
      <x:c r="B160" s="1"/>
      <x:c r="C160" s="1"/>
      <x:c r="D160" s="2"/>
      <x:c r="E160" s="2"/>
      <x:c r="F160" s="2"/>
      <x:c r="G160" s="2"/>
      <x:c r="H160" s="2"/>
      <x:c r="I160" s="2"/>
      <x:c r="J160" s="2"/>
      <x:c r="K160" s="1"/>
      <x:c r="L160" s="1"/>
    </x:row>
    <x:row r="161" ht="21" customHeight="1">
      <x:c r="A161" s="1"/>
      <x:c r="B161" s="1"/>
      <x:c r="C161" s="1"/>
      <x:c r="D161" s="2"/>
      <x:c r="E161" s="2"/>
      <x:c r="F161" s="2"/>
      <x:c r="G161" s="2"/>
      <x:c r="H161" s="2"/>
      <x:c r="I161" s="2"/>
      <x:c r="J161" s="2"/>
      <x:c r="K161" s="1"/>
      <x:c r="L161" s="1"/>
    </x:row>
    <x:row r="162" ht="21" customHeight="1">
      <x:c r="A162" s="1"/>
      <x:c r="B162" s="1"/>
      <x:c r="C162" s="1"/>
      <x:c r="D162" s="2"/>
      <x:c r="E162" s="2"/>
      <x:c r="F162" s="2"/>
      <x:c r="G162" s="2"/>
      <x:c r="H162" s="2"/>
      <x:c r="I162" s="2"/>
      <x:c r="J162" s="2"/>
      <x:c r="K162" s="1"/>
      <x:c r="L162" s="1"/>
    </x:row>
    <x:row r="163" ht="21" customHeight="1">
      <x:c r="A163" s="1"/>
      <x:c r="B163" s="1"/>
      <x:c r="C163" s="1"/>
      <x:c r="D163" s="2"/>
      <x:c r="E163" s="2"/>
      <x:c r="F163" s="2"/>
      <x:c r="G163" s="2"/>
      <x:c r="H163" s="2"/>
      <x:c r="I163" s="2"/>
      <x:c r="J163" s="2"/>
      <x:c r="K163" s="1"/>
      <x:c r="L163" s="1"/>
    </x:row>
    <x:row r="164" ht="21" customHeight="1">
      <x:c r="A164" s="1"/>
      <x:c r="B164" s="1"/>
      <x:c r="C164" s="1"/>
      <x:c r="D164" s="2"/>
      <x:c r="E164" s="2"/>
      <x:c r="F164" s="2"/>
      <x:c r="G164" s="2"/>
      <x:c r="H164" s="2"/>
      <x:c r="I164" s="2"/>
      <x:c r="J164" s="2"/>
      <x:c r="K164" s="1"/>
      <x:c r="L164" s="1"/>
    </x:row>
    <x:row r="165" ht="21" customHeight="1">
      <x:c r="A165" s="1"/>
      <x:c r="B165" s="1"/>
      <x:c r="C165" s="1"/>
      <x:c r="D165" s="2"/>
      <x:c r="E165" s="2"/>
      <x:c r="F165" s="2"/>
      <x:c r="G165" s="2"/>
      <x:c r="H165" s="2"/>
      <x:c r="I165" s="2"/>
      <x:c r="J165" s="2"/>
      <x:c r="K165" s="1"/>
      <x:c r="L165" s="1"/>
    </x:row>
    <x:row r="166" ht="21" customHeight="1">
      <x:c r="A166" s="1"/>
      <x:c r="B166" s="1"/>
      <x:c r="C166" s="1"/>
      <x:c r="D166" s="2"/>
      <x:c r="E166" s="2"/>
      <x:c r="F166" s="2"/>
      <x:c r="G166" s="2"/>
      <x:c r="H166" s="2"/>
      <x:c r="I166" s="2"/>
      <x:c r="J166" s="2"/>
      <x:c r="K166" s="1"/>
      <x:c r="L166" s="1"/>
    </x:row>
    <x:row r="167" ht="21" customHeight="1">
      <x:c r="A167" s="1"/>
      <x:c r="B167" s="1"/>
      <x:c r="C167" s="1"/>
      <x:c r="D167" s="2"/>
      <x:c r="E167" s="2"/>
      <x:c r="F167" s="2"/>
      <x:c r="G167" s="2"/>
      <x:c r="H167" s="2"/>
      <x:c r="I167" s="2"/>
      <x:c r="J167" s="2"/>
      <x:c r="K167" s="1"/>
      <x:c r="L167" s="1"/>
    </x:row>
    <x:row r="168" ht="21" customHeight="1">
      <x:c r="A168" s="1"/>
      <x:c r="B168" s="1"/>
      <x:c r="C168" s="1"/>
      <x:c r="D168" s="2"/>
      <x:c r="E168" s="2"/>
      <x:c r="F168" s="2"/>
      <x:c r="G168" s="2"/>
      <x:c r="H168" s="2"/>
      <x:c r="I168" s="2"/>
      <x:c r="J168" s="2"/>
      <x:c r="K168" s="1"/>
      <x:c r="L168" s="1"/>
    </x:row>
    <x:row r="169" ht="21" customHeight="1">
      <x:c r="A169" s="1"/>
      <x:c r="B169" s="1"/>
      <x:c r="C169" s="1"/>
      <x:c r="D169" s="2"/>
      <x:c r="E169" s="2"/>
      <x:c r="F169" s="2"/>
      <x:c r="G169" s="2"/>
      <x:c r="H169" s="2"/>
      <x:c r="I169" s="2"/>
      <x:c r="J169" s="2"/>
      <x:c r="K169" s="1"/>
      <x:c r="L169" s="1"/>
    </x:row>
    <x:row r="170" ht="21" customHeight="1">
      <x:c r="A170" s="1"/>
      <x:c r="B170" s="1"/>
      <x:c r="C170" s="1"/>
      <x:c r="D170" s="2"/>
      <x:c r="E170" s="2"/>
      <x:c r="F170" s="2"/>
      <x:c r="G170" s="2"/>
      <x:c r="H170" s="2"/>
      <x:c r="I170" s="2"/>
      <x:c r="J170" s="2"/>
      <x:c r="K170" s="1"/>
      <x:c r="L170" s="1"/>
    </x:row>
    <x:row r="171" ht="21" customHeight="1">
      <x:c r="A171" s="1"/>
      <x:c r="B171" s="1"/>
      <x:c r="C171" s="1"/>
      <x:c r="D171" s="2"/>
      <x:c r="E171" s="2"/>
      <x:c r="F171" s="2"/>
      <x:c r="G171" s="2"/>
      <x:c r="H171" s="2"/>
      <x:c r="I171" s="2"/>
      <x:c r="J171" s="2"/>
      <x:c r="K171" s="1"/>
      <x:c r="L171" s="1"/>
    </x:row>
    <x:row r="172" ht="21" customHeight="1">
      <x:c r="A172" s="1"/>
      <x:c r="B172" s="1"/>
      <x:c r="C172" s="1"/>
      <x:c r="D172" s="2"/>
      <x:c r="E172" s="2"/>
      <x:c r="F172" s="2"/>
      <x:c r="G172" s="2"/>
      <x:c r="H172" s="2"/>
      <x:c r="I172" s="2"/>
      <x:c r="J172" s="2"/>
      <x:c r="K172" s="1"/>
      <x:c r="L172" s="1"/>
    </x:row>
    <x:row r="173" ht="21" customHeight="1">
      <x:c r="A173" s="1"/>
      <x:c r="B173" s="1"/>
      <x:c r="C173" s="1"/>
      <x:c r="D173" s="2"/>
      <x:c r="E173" s="2"/>
      <x:c r="F173" s="2"/>
      <x:c r="G173" s="2"/>
      <x:c r="H173" s="2"/>
      <x:c r="I173" s="2"/>
      <x:c r="J173" s="2"/>
      <x:c r="K173" s="1"/>
      <x:c r="L173" s="1"/>
    </x:row>
    <x:row r="174" ht="21" customHeight="1">
      <x:c r="A174" s="1"/>
      <x:c r="B174" s="1"/>
      <x:c r="C174" s="1"/>
      <x:c r="D174" s="2"/>
      <x:c r="E174" s="2"/>
      <x:c r="F174" s="2"/>
      <x:c r="G174" s="2"/>
      <x:c r="H174" s="2"/>
      <x:c r="I174" s="2"/>
      <x:c r="J174" s="2"/>
      <x:c r="K174" s="1"/>
      <x:c r="L174" s="1"/>
    </x:row>
    <x:row r="175" ht="21" customHeight="1">
      <x:c r="A175" s="1"/>
      <x:c r="B175" s="1"/>
      <x:c r="C175" s="1"/>
      <x:c r="D175" s="2"/>
      <x:c r="E175" s="2"/>
      <x:c r="F175" s="2"/>
      <x:c r="G175" s="2"/>
      <x:c r="H175" s="2"/>
      <x:c r="I175" s="2"/>
      <x:c r="J175" s="2"/>
      <x:c r="K175" s="1"/>
      <x:c r="L175" s="1"/>
    </x:row>
    <x:row r="176" ht="21" customHeight="1">
      <x:c r="A176" s="1"/>
      <x:c r="B176" s="1"/>
      <x:c r="C176" s="1"/>
      <x:c r="D176" s="2"/>
      <x:c r="E176" s="2"/>
      <x:c r="F176" s="2"/>
      <x:c r="G176" s="2"/>
      <x:c r="H176" s="2"/>
      <x:c r="I176" s="2"/>
      <x:c r="J176" s="2"/>
      <x:c r="K176" s="1"/>
      <x:c r="L176" s="1"/>
    </x:row>
    <x:row r="177" ht="21" customHeight="1">
      <x:c r="A177" s="1"/>
      <x:c r="B177" s="1"/>
      <x:c r="C177" s="1"/>
      <x:c r="D177" s="2"/>
      <x:c r="E177" s="2"/>
      <x:c r="F177" s="2"/>
      <x:c r="G177" s="2"/>
      <x:c r="H177" s="2"/>
      <x:c r="I177" s="2"/>
      <x:c r="J177" s="2"/>
      <x:c r="K177" s="1"/>
      <x:c r="L177" s="1"/>
    </x:row>
    <x:row r="178" ht="21" customHeight="1">
      <x:c r="A178" s="1"/>
      <x:c r="B178" s="1"/>
      <x:c r="C178" s="1"/>
      <x:c r="D178" s="2"/>
      <x:c r="E178" s="2"/>
      <x:c r="F178" s="2"/>
      <x:c r="G178" s="2"/>
      <x:c r="H178" s="2"/>
      <x:c r="I178" s="2"/>
      <x:c r="J178" s="2"/>
      <x:c r="K178" s="1"/>
      <x:c r="L178" s="1"/>
    </x:row>
    <x:row r="179" ht="21" customHeight="1">
      <x:c r="A179" s="1"/>
      <x:c r="B179" s="1"/>
      <x:c r="C179" s="1"/>
      <x:c r="D179" s="2"/>
      <x:c r="E179" s="2"/>
      <x:c r="F179" s="2"/>
      <x:c r="G179" s="2"/>
      <x:c r="H179" s="2"/>
      <x:c r="I179" s="2"/>
      <x:c r="J179" s="2"/>
      <x:c r="K179" s="1"/>
      <x:c r="L179" s="1"/>
    </x:row>
    <x:row r="180" ht="21" customHeight="1">
      <x:c r="A180" s="1"/>
      <x:c r="B180" s="1"/>
      <x:c r="C180" s="1"/>
      <x:c r="D180" s="2"/>
      <x:c r="E180" s="2"/>
      <x:c r="F180" s="2"/>
      <x:c r="G180" s="2"/>
      <x:c r="H180" s="2"/>
      <x:c r="I180" s="2"/>
      <x:c r="J180" s="2"/>
      <x:c r="K180" s="1"/>
      <x:c r="L180" s="1"/>
    </x:row>
    <x:row r="181" ht="21" customHeight="1">
      <x:c r="A181" s="1"/>
      <x:c r="B181" s="1"/>
      <x:c r="C181" s="1"/>
      <x:c r="D181" s="2"/>
      <x:c r="E181" s="2"/>
      <x:c r="F181" s="2"/>
      <x:c r="G181" s="2"/>
      <x:c r="H181" s="2"/>
      <x:c r="I181" s="2"/>
      <x:c r="J181" s="2"/>
      <x:c r="K181" s="1"/>
      <x:c r="L181" s="1"/>
    </x:row>
    <x:row r="182" ht="21" customHeight="1">
      <x:c r="A182" s="1"/>
      <x:c r="B182" s="1"/>
      <x:c r="C182" s="1"/>
      <x:c r="D182" s="2"/>
      <x:c r="E182" s="2"/>
      <x:c r="F182" s="2"/>
      <x:c r="G182" s="2"/>
      <x:c r="H182" s="2"/>
      <x:c r="I182" s="2"/>
      <x:c r="J182" s="2"/>
      <x:c r="K182" s="1"/>
      <x:c r="L182" s="1"/>
    </x:row>
    <x:row r="183" ht="21" customHeight="1">
      <x:c r="A183" s="1"/>
      <x:c r="B183" s="1"/>
      <x:c r="C183" s="1"/>
      <x:c r="D183" s="2"/>
      <x:c r="E183" s="2"/>
      <x:c r="F183" s="2"/>
      <x:c r="G183" s="2"/>
      <x:c r="H183" s="2"/>
      <x:c r="I183" s="2"/>
      <x:c r="J183" s="2"/>
      <x:c r="K183" s="1"/>
      <x:c r="L183" s="1"/>
    </x:row>
    <x:row r="184" ht="21" customHeight="1">
      <x:c r="A184" s="1"/>
      <x:c r="B184" s="1"/>
      <x:c r="C184" s="1"/>
      <x:c r="D184" s="2"/>
      <x:c r="E184" s="2"/>
      <x:c r="F184" s="2"/>
      <x:c r="G184" s="2"/>
      <x:c r="H184" s="2"/>
      <x:c r="I184" s="2"/>
      <x:c r="J184" s="2"/>
      <x:c r="K184" s="1"/>
      <x:c r="L184" s="1"/>
    </x:row>
    <x:row r="185" ht="21" customHeight="1">
      <x:c r="A185" s="1"/>
      <x:c r="B185" s="1"/>
      <x:c r="C185" s="1"/>
      <x:c r="D185" s="2"/>
      <x:c r="E185" s="2"/>
      <x:c r="F185" s="2"/>
      <x:c r="G185" s="2"/>
      <x:c r="H185" s="2"/>
      <x:c r="I185" s="2"/>
      <x:c r="J185" s="2"/>
      <x:c r="K185" s="1"/>
      <x:c r="L185" s="1"/>
    </x:row>
    <x:row r="186" ht="21" customHeight="1">
      <x:c r="A186" s="1"/>
      <x:c r="B186" s="1"/>
      <x:c r="C186" s="1"/>
      <x:c r="D186" s="2"/>
      <x:c r="E186" s="2"/>
      <x:c r="F186" s="2"/>
      <x:c r="G186" s="2"/>
      <x:c r="H186" s="2"/>
      <x:c r="I186" s="2"/>
      <x:c r="J186" s="2"/>
      <x:c r="K186" s="1"/>
      <x:c r="L186" s="1"/>
    </x:row>
    <x:row r="187" ht="21" customHeight="1">
      <x:c r="A187" s="1"/>
      <x:c r="B187" s="1"/>
      <x:c r="C187" s="1"/>
      <x:c r="D187" s="2"/>
      <x:c r="E187" s="2"/>
      <x:c r="F187" s="2"/>
      <x:c r="G187" s="2"/>
      <x:c r="H187" s="2"/>
      <x:c r="I187" s="2"/>
      <x:c r="J187" s="2"/>
      <x:c r="K187" s="1"/>
      <x:c r="L187" s="1"/>
    </x:row>
    <x:row r="188" ht="21" customHeight="1">
      <x:c r="A188" s="1"/>
      <x:c r="B188" s="1"/>
      <x:c r="C188" s="1"/>
      <x:c r="D188" s="2"/>
      <x:c r="E188" s="2"/>
      <x:c r="F188" s="2"/>
      <x:c r="G188" s="2"/>
      <x:c r="H188" s="2"/>
      <x:c r="I188" s="2"/>
      <x:c r="J188" s="2"/>
      <x:c r="K188" s="1"/>
      <x:c r="L188" s="1"/>
    </x:row>
    <x:row r="189" ht="21" customHeight="1">
      <x:c r="A189" s="1"/>
      <x:c r="B189" s="1"/>
      <x:c r="C189" s="1"/>
      <x:c r="D189" s="2"/>
      <x:c r="E189" s="2"/>
      <x:c r="F189" s="2"/>
      <x:c r="G189" s="2"/>
      <x:c r="H189" s="2"/>
      <x:c r="I189" s="2"/>
      <x:c r="J189" s="2"/>
      <x:c r="K189" s="1"/>
      <x:c r="L189" s="1"/>
    </x:row>
    <x:row r="190" ht="21" customHeight="1">
      <x:c r="A190" s="1"/>
      <x:c r="B190" s="1"/>
      <x:c r="C190" s="1"/>
      <x:c r="D190" s="2"/>
      <x:c r="E190" s="2"/>
      <x:c r="F190" s="2"/>
      <x:c r="G190" s="2"/>
      <x:c r="H190" s="2"/>
      <x:c r="I190" s="2"/>
      <x:c r="J190" s="2"/>
      <x:c r="K190" s="1"/>
      <x:c r="L190" s="1"/>
    </x:row>
    <x:row r="191" ht="21" customHeight="1">
      <x:c r="A191" s="1"/>
      <x:c r="B191" s="1"/>
      <x:c r="C191" s="1"/>
      <x:c r="D191" s="2"/>
      <x:c r="E191" s="2"/>
      <x:c r="F191" s="2"/>
      <x:c r="G191" s="2"/>
      <x:c r="H191" s="2"/>
      <x:c r="I191" s="2"/>
      <x:c r="J191" s="2"/>
      <x:c r="K191" s="1"/>
      <x:c r="L191" s="1"/>
    </x:row>
    <x:row r="192" ht="21" customHeight="1">
      <x:c r="A192" s="1"/>
      <x:c r="B192" s="1"/>
      <x:c r="C192" s="1"/>
      <x:c r="D192" s="2"/>
      <x:c r="E192" s="2"/>
      <x:c r="F192" s="2"/>
      <x:c r="G192" s="2"/>
      <x:c r="H192" s="2"/>
      <x:c r="I192" s="2"/>
      <x:c r="J192" s="2"/>
      <x:c r="K192" s="1"/>
      <x:c r="L192" s="1"/>
    </x:row>
    <x:row r="193" ht="21" customHeight="1">
      <x:c r="A193" s="1"/>
      <x:c r="B193" s="1"/>
      <x:c r="C193" s="1"/>
      <x:c r="D193" s="2"/>
      <x:c r="E193" s="2"/>
      <x:c r="F193" s="2"/>
      <x:c r="G193" s="2"/>
      <x:c r="H193" s="2"/>
      <x:c r="I193" s="2"/>
      <x:c r="J193" s="2"/>
      <x:c r="K193" s="1"/>
      <x:c r="L193" s="1"/>
    </x:row>
    <x:row r="194" ht="21" customHeight="1">
      <x:c r="A194" s="1"/>
      <x:c r="B194" s="1"/>
      <x:c r="C194" s="1"/>
      <x:c r="D194" s="2"/>
      <x:c r="E194" s="2"/>
      <x:c r="F194" s="2"/>
      <x:c r="G194" s="2"/>
      <x:c r="H194" s="2"/>
      <x:c r="I194" s="2"/>
      <x:c r="J194" s="2"/>
      <x:c r="K194" s="1"/>
      <x:c r="L194" s="1"/>
    </x:row>
    <x:row r="195" ht="21" customHeight="1">
      <x:c r="A195" s="1"/>
      <x:c r="B195" s="1"/>
      <x:c r="C195" s="1"/>
      <x:c r="D195" s="2"/>
      <x:c r="E195" s="2"/>
      <x:c r="F195" s="2"/>
      <x:c r="G195" s="2"/>
      <x:c r="H195" s="2"/>
      <x:c r="I195" s="2"/>
      <x:c r="J195" s="2"/>
      <x:c r="K195" s="1"/>
      <x:c r="L195" s="1"/>
    </x:row>
    <x:row r="196" ht="21" customHeight="1">
      <x:c r="A196" s="1"/>
      <x:c r="B196" s="1"/>
      <x:c r="C196" s="1"/>
      <x:c r="D196" s="2"/>
      <x:c r="E196" s="2"/>
      <x:c r="F196" s="2"/>
      <x:c r="G196" s="2"/>
      <x:c r="H196" s="2"/>
      <x:c r="I196" s="2"/>
      <x:c r="J196" s="2"/>
      <x:c r="K196" s="1"/>
      <x:c r="L196" s="1"/>
    </x:row>
    <x:row r="197" ht="21" customHeight="1">
      <x:c r="A197" s="1"/>
      <x:c r="B197" s="1"/>
      <x:c r="C197" s="1"/>
      <x:c r="D197" s="2"/>
      <x:c r="E197" s="2"/>
      <x:c r="F197" s="2"/>
      <x:c r="G197" s="2"/>
      <x:c r="H197" s="2"/>
      <x:c r="I197" s="2"/>
      <x:c r="J197" s="2"/>
      <x:c r="K197" s="1"/>
      <x:c r="L197" s="1"/>
    </x:row>
    <x:row r="198" ht="21" customHeight="1">
      <x:c r="A198" s="1"/>
      <x:c r="B198" s="1"/>
      <x:c r="C198" s="1"/>
      <x:c r="D198" s="2"/>
      <x:c r="E198" s="2"/>
      <x:c r="F198" s="2"/>
      <x:c r="G198" s="2"/>
      <x:c r="H198" s="2"/>
      <x:c r="I198" s="2"/>
      <x:c r="J198" s="2"/>
      <x:c r="K198" s="1"/>
      <x:c r="L198" s="1"/>
    </x:row>
    <x:row r="199" ht="21" customHeight="1">
      <x:c r="A199" s="1"/>
      <x:c r="B199" s="1"/>
      <x:c r="C199" s="1"/>
      <x:c r="D199" s="2"/>
      <x:c r="E199" s="2"/>
      <x:c r="F199" s="2"/>
      <x:c r="G199" s="2"/>
      <x:c r="H199" s="2"/>
      <x:c r="I199" s="2"/>
      <x:c r="J199" s="2"/>
      <x:c r="K199" s="1"/>
      <x:c r="L199" s="1"/>
    </x:row>
    <x:row r="200" ht="21" customHeight="1">
      <x:c r="A200" s="1"/>
      <x:c r="B200" s="1"/>
      <x:c r="C200" s="1"/>
      <x:c r="D200" s="2"/>
      <x:c r="E200" s="2"/>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 ref="C59:J59"/>
    <x:mergeCell ref="C71:J72"/>
  </x:mergeCells>
  <x:dataValidations count="1">
    <x:dataValidation type="list" sqref="D4">
      <x:formula1>"Bear,Base,Bull"</x:formula1>
    </x:dataValidation>
  </x:dataValidations>
  <x:pageMargins left="0.7" right="0.7" top="0.75" bottom="0.75" header="0.3" footer="0.3"/>
</x:worksheet>
</file>

<file path=xl/worksheets/sheet3.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1" customHeight="1">
      <x:c r="A1" s="1"/>
      <x:c r="B1" s="1"/>
      <x:c r="C1" s="4" t="str">
        <x:v>VISTA / DCF</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t="str">
        <x:v>Selected scenario</x:v>
      </x:c>
      <x:c r="D3" s="6" t="str">
        <x:f>Controls!D4</x:f>
        <x:v>Base</x:v>
      </x:c>
      <x:c r="E3" s="1"/>
      <x:c r="F3" s="1"/>
      <x:c r="G3" s="1"/>
      <x:c r="H3" s="1"/>
      <x:c r="I3" s="1"/>
      <x:c r="J3" s="1"/>
      <x:c r="K3" s="1"/>
      <x:c r="L3" s="1"/>
    </x:row>
    <x:row r="4" ht="21" customHeight="1">
      <x:c r="A4" s="1"/>
      <x:c r="B4" s="1"/>
      <x:c r="C4" s="1" t="str">
        <x:v>WACC / sensitivity input</x:v>
      </x:c>
      <x:c r="D4" s="21" t="n">
        <x:f>Controls!D34</x:f>
        <x:v>0.14</x:v>
      </x:c>
      <x:c r="E4" s="2"/>
      <x:c r="F4" s="2" t="str">
        <x:v>Terminal growth</x:v>
      </x:c>
      <x:c r="G4" s="21" t="n">
        <x:f>Controls!D39</x:f>
        <x:v>0.035</x:v>
      </x:c>
      <x:c r="H4" s="2"/>
      <x:c r="I4" s="2"/>
      <x:c r="J4" s="2"/>
      <x:c r="K4" s="1"/>
      <x:c r="L4" s="1"/>
    </x:row>
    <x:row r="5" ht="21" customHeight="1">
      <x:c r="A5" s="1"/>
      <x:c r="B5" s="1"/>
      <x:c r="C5" s="1" t="str">
        <x:v>Terminal ROIC</x:v>
      </x:c>
      <x:c r="D5" s="21" t="n">
        <x:f>Controls!D44</x:f>
        <x:v>0.15</x:v>
      </x:c>
      <x:c r="E5" s="2"/>
      <x:c r="F5" s="2"/>
      <x:c r="G5" s="2"/>
      <x:c r="H5" s="2"/>
      <x:c r="I5" s="2"/>
      <x:c r="J5" s="2"/>
      <x:c r="K5" s="1"/>
      <x:c r="L5" s="1"/>
    </x:row>
    <x:row r="6" ht="21" customHeight="1">
      <x:c r="A6" s="1"/>
      <x:c r="B6" s="1"/>
      <x:c r="C6" s="1"/>
      <x:c r="D6" s="2"/>
      <x:c r="E6" s="2"/>
      <x:c r="F6" s="2"/>
      <x:c r="G6" s="2"/>
      <x:c r="H6" s="2"/>
      <x:c r="I6" s="2"/>
      <x:c r="J6" s="2"/>
      <x:c r="K6" s="1"/>
      <x:c r="L6" s="1"/>
    </x:row>
    <x:row r="7" ht="21" customHeight="1">
      <x:c r="A7" s="1"/>
      <x:c r="B7" s="1"/>
      <x:c r="C7" s="1"/>
      <x:c r="D7" s="2" t="str">
        <x:v>F1 Sep-27</x:v>
      </x:c>
      <x:c r="E7" s="2" t="str">
        <x:v>F2 Sep-28</x:v>
      </x:c>
      <x:c r="F7" s="2" t="str">
        <x:v>F3 Sep-29</x:v>
      </x:c>
      <x:c r="G7" s="2" t="str">
        <x:v>F4 Sep-30</x:v>
      </x:c>
      <x:c r="H7" s="2" t="str">
        <x:v>F5 Sep-31</x:v>
      </x:c>
      <x:c r="I7" s="2"/>
      <x:c r="J7" s="2"/>
      <x:c r="K7" s="1"/>
      <x:c r="L7" s="1"/>
    </x:row>
    <x:row r="8" ht="21" customHeight="1">
      <x:c r="A8" s="1"/>
      <x:c r="B8" s="1"/>
      <x:c r="C8" s="1" t="str">
        <x:v>Year / discount exponent</x:v>
      </x:c>
      <x:c r="D8" s="11" t="n">
        <x:v>1</x:v>
      </x:c>
      <x:c r="E8" s="11" t="n">
        <x:v>2</x:v>
      </x:c>
      <x:c r="F8" s="11" t="n">
        <x:v>3</x:v>
      </x:c>
      <x:c r="G8" s="11" t="n">
        <x:v>4</x:v>
      </x:c>
      <x:c r="H8" s="11" t="n">
        <x:v>5</x:v>
      </x:c>
      <x:c r="I8" s="2"/>
      <x:c r="J8" s="2"/>
      <x:c r="K8" s="1"/>
      <x:c r="L8" s="1"/>
    </x:row>
    <x:row r="9" ht="21" customHeight="1">
      <x:c r="A9" s="1"/>
      <x:c r="B9" s="1"/>
      <x:c r="C9" s="1" t="str">
        <x:v>Revenue growth</x:v>
      </x:c>
      <x:c r="D9" s="21" t="n">
        <x:f>Controls!D8</x:f>
        <x:v>0.08</x:v>
      </x:c>
      <x:c r="E9" s="21" t="n">
        <x:f>Controls!E8</x:f>
        <x:v>0.07</x:v>
      </x:c>
      <x:c r="F9" s="21" t="n">
        <x:f>Controls!F8</x:f>
        <x:v>0.06</x:v>
      </x:c>
      <x:c r="G9" s="21" t="n">
        <x:f>Controls!G8</x:f>
        <x:v>0.05</x:v>
      </x:c>
      <x:c r="H9" s="21" t="n">
        <x:f>Controls!H8</x:f>
        <x:v>0.04</x:v>
      </x:c>
      <x:c r="I9" s="2"/>
      <x:c r="J9" s="2"/>
      <x:c r="K9" s="1"/>
      <x:c r="L9" s="1"/>
    </x:row>
    <x:row r="10" ht="21" customHeight="1">
      <x:c r="A10" s="1"/>
      <x:c r="B10" s="1"/>
      <x:c r="C10" s="1" t="str">
        <x:v>Revenue</x:v>
      </x:c>
      <x:c r="D10" s="9" t="n">
        <x:f>$D$43*(1+D9)</x:f>
        <x:v>7346.9011406399995</x:v>
      </x:c>
      <x:c r="E10" s="9" t="n">
        <x:f>D10*(1+E9)</x:f>
        <x:v>7861.1842204848</x:v>
      </x:c>
      <x:c r="F10" s="9" t="n">
        <x:f>E10*(1+F9)</x:f>
        <x:v>8332.855273713889</x:v>
      </x:c>
      <x:c r="G10" s="9" t="n">
        <x:f>F10*(1+G9)</x:f>
        <x:v>8749.498037399584</x:v>
      </x:c>
      <x:c r="H10" s="9" t="n">
        <x:f>G10*(1+H9)</x:f>
        <x:v>9099.477958895568</x:v>
      </x:c>
      <x:c r="I10" s="2"/>
      <x:c r="J10" s="2"/>
      <x:c r="K10" s="1"/>
      <x:c r="L10" s="1"/>
    </x:row>
    <x:row r="11" ht="21" customHeight="1">
      <x:c r="A11" s="1"/>
      <x:c r="B11" s="1"/>
      <x:c r="C11" s="1" t="str">
        <x:v>Normalized EBIT margin</x:v>
      </x:c>
      <x:c r="D11" s="21" t="n">
        <x:f>Controls!D13</x:f>
        <x:v>0.14</x:v>
      </x:c>
      <x:c r="E11" s="21" t="n">
        <x:f>Controls!E13</x:f>
        <x:v>0.145</x:v>
      </x:c>
      <x:c r="F11" s="21" t="n">
        <x:f>Controls!F13</x:f>
        <x:v>0.15</x:v>
      </x:c>
      <x:c r="G11" s="21" t="n">
        <x:f>Controls!G13</x:f>
        <x:v>0.15</x:v>
      </x:c>
      <x:c r="H11" s="21" t="n">
        <x:f>Controls!H13</x:f>
        <x:v>0.15</x:v>
      </x:c>
      <x:c r="I11" s="2"/>
      <x:c r="J11" s="2"/>
      <x:c r="K11" s="1"/>
      <x:c r="L11" s="1"/>
    </x:row>
    <x:row r="12" ht="21" customHeight="1">
      <x:c r="A12" s="1"/>
      <x:c r="B12" s="1"/>
      <x:c r="C12" s="1" t="str">
        <x:v>Normalized EBIT</x:v>
      </x:c>
      <x:c r="D12" s="9" t="n">
        <x:f>D10*D11</x:f>
        <x:v>1028.5661596896</x:v>
      </x:c>
      <x:c r="E12" s="9" t="n">
        <x:f>E10*E11</x:f>
        <x:v>1139.8717119702958</x:v>
      </x:c>
      <x:c r="F12" s="9" t="n">
        <x:f>F10*F11</x:f>
        <x:v>1249.9282910570832</x:v>
      </x:c>
      <x:c r="G12" s="9" t="n">
        <x:f>G10*G11</x:f>
        <x:v>1312.4247056099375</x:v>
      </x:c>
      <x:c r="H12" s="9" t="n">
        <x:f>H10*H11</x:f>
        <x:v>1364.9216938343352</x:v>
      </x:c>
      <x:c r="I12" s="2"/>
      <x:c r="J12" s="2"/>
      <x:c r="K12" s="1"/>
      <x:c r="L12" s="1"/>
    </x:row>
    <x:row r="13" ht="21" customHeight="1">
      <x:c r="A13" s="1"/>
      <x:c r="B13" s="1"/>
      <x:c r="C13" s="1" t="str">
        <x:v>NOPAT</x:v>
      </x:c>
      <x:c r="D13" s="20" t="n">
        <x:f>D12*(1-Controls!$D$62)</x:f>
        <x:v>802.281604557888</x:v>
      </x:c>
      <x:c r="E13" s="20" t="n">
        <x:f>E12*(1-Controls!$D$62)</x:f>
        <x:v>889.0999353368308</x:v>
      </x:c>
      <x:c r="F13" s="20" t="n">
        <x:f>F12*(1-Controls!$D$62)</x:f>
        <x:v>974.944067024525</x:v>
      </x:c>
      <x:c r="G13" s="20" t="n">
        <x:f>G12*(1-Controls!$D$62)</x:f>
        <x:v>1023.6912703757513</x:v>
      </x:c>
      <x:c r="H13" s="20" t="n">
        <x:f>H12*(1-Controls!$D$62)</x:f>
        <x:v>1064.6389211907815</x:v>
      </x:c>
      <x:c r="I13" s="2"/>
      <x:c r="J13" s="2"/>
      <x:c r="K13" s="1"/>
      <x:c r="L13" s="1"/>
    </x:row>
    <x:row r="14" ht="21" customHeight="1">
      <x:c r="A14" s="1"/>
      <x:c r="B14" s="1"/>
      <x:c r="C14" s="1" t="str">
        <x:v>Depreciation / sales</x:v>
      </x:c>
      <x:c r="D14" s="21" t="n">
        <x:f>Controls!D18</x:f>
        <x:v>0.155</x:v>
      </x:c>
      <x:c r="E14" s="21" t="n">
        <x:f>Controls!E18</x:f>
        <x:v>0.15</x:v>
      </x:c>
      <x:c r="F14" s="21" t="n">
        <x:f>Controls!F18</x:f>
        <x:v>0.145</x:v>
      </x:c>
      <x:c r="G14" s="21" t="n">
        <x:f>Controls!G18</x:f>
        <x:v>0.14</x:v>
      </x:c>
      <x:c r="H14" s="21" t="n">
        <x:f>Controls!H18</x:f>
        <x:v>0.14</x:v>
      </x:c>
      <x:c r="I14" s="2"/>
      <x:c r="J14" s="2"/>
      <x:c r="K14" s="1"/>
      <x:c r="L14" s="1"/>
    </x:row>
    <x:row r="15" ht="21" customHeight="1">
      <x:c r="A15" s="1"/>
      <x:c r="B15" s="1"/>
      <x:c r="C15" s="1" t="str">
        <x:v>Depreciation</x:v>
      </x:c>
      <x:c r="D15" s="9" t="n">
        <x:f>D10*D14</x:f>
        <x:v>1138.7696767992</x:v>
      </x:c>
      <x:c r="E15" s="9" t="n">
        <x:f>E10*E14</x:f>
        <x:v>1179.17763307272</x:v>
      </x:c>
      <x:c r="F15" s="9" t="n">
        <x:f>F10*F14</x:f>
        <x:v>1208.2640146885137</x:v>
      </x:c>
      <x:c r="G15" s="9" t="n">
        <x:f>G10*G14</x:f>
        <x:v>1224.929725235942</x:v>
      </x:c>
      <x:c r="H15" s="9" t="n">
        <x:f>H10*H14</x:f>
        <x:v>1273.9269142453797</x:v>
      </x:c>
      <x:c r="I15" s="2"/>
      <x:c r="J15" s="2"/>
      <x:c r="K15" s="1"/>
      <x:c r="L15" s="1"/>
    </x:row>
    <x:row r="16" ht="21" customHeight="1">
      <x:c r="A16" s="1"/>
      <x:c r="B16" s="1"/>
      <x:c r="C16" s="1" t="str">
        <x:v>Cash capex / sales</x:v>
      </x:c>
      <x:c r="D16" s="21" t="n">
        <x:f>Controls!D23</x:f>
        <x:v>0.21</x:v>
      </x:c>
      <x:c r="E16" s="21" t="n">
        <x:f>Controls!E23</x:f>
        <x:v>0.2</x:v>
      </x:c>
      <x:c r="F16" s="21" t="n">
        <x:f>Controls!F23</x:f>
        <x:v>0.19</x:v>
      </x:c>
      <x:c r="G16" s="21" t="n">
        <x:f>Controls!G23</x:f>
        <x:v>0.18</x:v>
      </x:c>
      <x:c r="H16" s="21" t="n">
        <x:f>Controls!H23</x:f>
        <x:v>0.17</x:v>
      </x:c>
      <x:c r="I16" s="2"/>
      <x:c r="J16" s="2"/>
      <x:c r="K16" s="1"/>
      <x:c r="L16" s="1"/>
    </x:row>
    <x:row r="17" ht="21" customHeight="1">
      <x:c r="A17" s="1"/>
      <x:c r="B17" s="1"/>
      <x:c r="C17" s="1" t="str">
        <x:v>Cash capex</x:v>
      </x:c>
      <x:c r="D17" s="9" t="n">
        <x:f>D10*D16</x:f>
        <x:v>1542.8492395343999</x:v>
      </x:c>
      <x:c r="E17" s="9" t="n">
        <x:f>E10*E16</x:f>
        <x:v>1572.23684409696</x:v>
      </x:c>
      <x:c r="F17" s="9" t="n">
        <x:f>F10*F16</x:f>
        <x:v>1583.242502005639</x:v>
      </x:c>
      <x:c r="G17" s="9" t="n">
        <x:f>G10*G16</x:f>
        <x:v>1574.909646731925</x:v>
      </x:c>
      <x:c r="H17" s="9" t="n">
        <x:f>H10*H16</x:f>
        <x:v>1546.9112530122466</x:v>
      </x:c>
      <x:c r="I17" s="2"/>
      <x:c r="J17" s="2"/>
      <x:c r="K17" s="1"/>
      <x:c r="L17" s="1"/>
    </x:row>
    <x:row r="18" ht="21" customHeight="1">
      <x:c r="A18" s="1"/>
      <x:c r="B18" s="1"/>
      <x:c r="C18" s="1" t="str">
        <x:v>Noncash lease capex allowance</x:v>
      </x:c>
      <x:c r="D18" s="20" t="n">
        <x:f>D10*Controls!$D$63</x:f>
        <x:v>36.7345057032</x:v>
      </x:c>
      <x:c r="E18" s="20" t="n">
        <x:f>E10*Controls!$D$63</x:f>
        <x:v>39.305921102424</x:v>
      </x:c>
      <x:c r="F18" s="20" t="n">
        <x:f>F10*Controls!$D$63</x:f>
        <x:v>41.664276368569446</x:v>
      </x:c>
      <x:c r="G18" s="20" t="n">
        <x:f>G10*Controls!$D$63</x:f>
        <x:v>43.74749018699792</x:v>
      </x:c>
      <x:c r="H18" s="20" t="n">
        <x:f>H10*Controls!$D$63</x:f>
        <x:v>45.49738979447784</x:v>
      </x:c>
      <x:c r="I18" s="2"/>
      <x:c r="J18" s="2"/>
      <x:c r="K18" s="1"/>
      <x:c r="L18" s="1"/>
    </x:row>
    <x:row r="19" ht="21" customHeight="1">
      <x:c r="A19" s="1"/>
      <x:c r="B19" s="1"/>
      <x:c r="C19" s="1" t="str">
        <x:v>NWC / sales</x:v>
      </x:c>
      <x:c r="D19" s="21" t="n">
        <x:f>Controls!D28</x:f>
        <x:v>0.12</x:v>
      </x:c>
      <x:c r="E19" s="21" t="n">
        <x:f>Controls!E28</x:f>
        <x:v>0.12</x:v>
      </x:c>
      <x:c r="F19" s="21" t="n">
        <x:f>Controls!F28</x:f>
        <x:v>0.12</x:v>
      </x:c>
      <x:c r="G19" s="21" t="n">
        <x:f>Controls!G28</x:f>
        <x:v>0.12</x:v>
      </x:c>
      <x:c r="H19" s="21" t="n">
        <x:f>Controls!H28</x:f>
        <x:v>0.12</x:v>
      </x:c>
      <x:c r="I19" s="2"/>
      <x:c r="J19" s="2"/>
      <x:c r="K19" s="1"/>
      <x:c r="L19" s="1"/>
    </x:row>
    <x:row r="20" ht="21" customHeight="1">
      <x:c r="A20" s="1"/>
      <x:c r="B20" s="1"/>
      <x:c r="C20" s="1" t="str">
        <x:v>Closing operating NWC</x:v>
      </x:c>
      <x:c r="D20" s="9" t="n">
        <x:f>D10*D19</x:f>
        <x:v>881.6281368767999</x:v>
      </x:c>
      <x:c r="E20" s="9" t="n">
        <x:f>E10*E19</x:f>
        <x:v>943.342106458176</x:v>
      </x:c>
      <x:c r="F20" s="9" t="n">
        <x:f>F10*F19</x:f>
        <x:v>999.9426328456666</x:v>
      </x:c>
      <x:c r="G20" s="9" t="n">
        <x:f>G10*G19</x:f>
        <x:v>1049.93976448795</x:v>
      </x:c>
      <x:c r="H20" s="9" t="n">
        <x:f>H10*H19</x:f>
        <x:v>1091.9373550674682</x:v>
      </x:c>
      <x:c r="I20" s="2"/>
      <x:c r="J20" s="2"/>
      <x:c r="K20" s="1"/>
      <x:c r="L20" s="1"/>
    </x:row>
    <x:row r="21" ht="21" customHeight="1">
      <x:c r="A21" s="1"/>
      <x:c r="B21" s="1"/>
      <x:c r="C21" s="1" t="str">
        <x:v>Change in NWC</x:v>
      </x:c>
      <x:c r="D21" s="9" t="n">
        <x:f>D20-$D$44</x:f>
        <x:v>49.70111187680004</x:v>
      </x:c>
      <x:c r="E21" s="9" t="n">
        <x:f>E20-D20</x:f>
        <x:v>61.71396958137609</x:v>
      </x:c>
      <x:c r="F21" s="9" t="n">
        <x:f>F20-E20</x:f>
        <x:v>56.60052638749062</x:v>
      </x:c>
      <x:c r="G21" s="9" t="n">
        <x:f>G20-F20</x:f>
        <x:v>49.99713164228342</x:v>
      </x:c>
      <x:c r="H21" s="9" t="n">
        <x:f>H20-G20</x:f>
        <x:v>41.997590579518146</x:v>
      </x:c>
      <x:c r="I21" s="2"/>
      <x:c r="J21" s="2"/>
      <x:c r="K21" s="1"/>
      <x:c r="L21" s="1"/>
    </x:row>
    <x:row r="22" ht="21" customHeight="1">
      <x:c r="A22" s="1"/>
      <x:c r="B22" s="1"/>
      <x:c r="C22" s="35" t="str">
        <x:v>FCFF</x:v>
      </x:c>
      <x:c r="D22" s="36" t="n">
        <x:f>D13+D15-D17-D18-D21</x:f>
        <x:v>311.7664242426882</x:v>
      </x:c>
      <x:c r="E22" s="36" t="n">
        <x:f>E13+E15-E17-E18-E21</x:f>
        <x:v>395.0208336287907</x:v>
      </x:c>
      <x:c r="F22" s="36" t="n">
        <x:f>F13+F15-F17-F18-F21</x:f>
        <x:v>501.70077695133966</x:v>
      </x:c>
      <x:c r="G22" s="36" t="n">
        <x:f>G13+G15-G17-G18-G21</x:f>
        <x:v>579.9667270504868</x:v>
      </x:c>
      <x:c r="H22" s="36" t="n">
        <x:f>H13+H15-H17-H18-H21</x:f>
        <x:v>704.1596020499187</x:v>
      </x:c>
      <x:c r="I22" s="2"/>
      <x:c r="J22" s="2"/>
      <x:c r="K22" s="1"/>
      <x:c r="L22" s="1"/>
    </x:row>
    <x:row r="23" ht="21" customHeight="1">
      <x:c r="A23" s="1"/>
      <x:c r="B23" s="1"/>
      <x:c r="C23" s="1" t="str">
        <x:v>Discount factor</x:v>
      </x:c>
      <x:c r="D23" s="12" t="n">
        <x:f>1/(1+$D$4)^D8</x:f>
        <x:v>0.8771929824561403</x:v>
      </x:c>
      <x:c r="E23" s="12" t="n">
        <x:f>1/(1+$D$4)^E8</x:f>
        <x:v>0.7694675284702984</x:v>
      </x:c>
      <x:c r="F23" s="12" t="n">
        <x:f>1/(1+$D$4)^F8</x:f>
        <x:v>0.6749715162020161</x:v>
      </x:c>
      <x:c r="G23" s="12" t="n">
        <x:f>1/(1+$D$4)^G8</x:f>
        <x:v>0.5920802773701894</x:v>
      </x:c>
      <x:c r="H23" s="12" t="n">
        <x:f>1/(1+$D$4)^H8</x:f>
        <x:v>0.5193686643598152</x:v>
      </x:c>
      <x:c r="I23" s="2"/>
      <x:c r="J23" s="2"/>
      <x:c r="K23" s="1"/>
      <x:c r="L23" s="1"/>
    </x:row>
    <x:row r="24" ht="21" customHeight="1">
      <x:c r="A24" s="1"/>
      <x:c r="B24" s="1"/>
      <x:c r="C24" s="35" t="str">
        <x:v>Present value of FCFF</x:v>
      </x:c>
      <x:c r="D24" s="36" t="n">
        <x:f>D22*D23</x:f>
        <x:v>273.47931951113</x:v>
      </x:c>
      <x:c r="E24" s="36" t="n">
        <x:f>E22*E23</x:f>
        <x:v>303.9557045466225</x:v>
      </x:c>
      <x:c r="F24" s="36" t="n">
        <x:f>F22*F23</x:f>
        <x:v>338.63373409857525</x:v>
      </x:c>
      <x:c r="G24" s="36" t="n">
        <x:f>G22*G23</x:f>
        <x:v>343.3868606175332</x:v>
      </x:c>
      <x:c r="H24" s="36" t="n">
        <x:f>H22*H23</x:f>
        <x:v>365.7184320128053</x:v>
      </x:c>
      <x:c r="I24" s="2"/>
      <x:c r="J24" s="2"/>
      <x:c r="K24" s="1"/>
      <x:c r="L24" s="1"/>
    </x:row>
    <x:row r="25" ht="21" customHeight="1">
      <x:c r="A25" s="1"/>
      <x:c r="B25" s="1"/>
      <x:c r="C25" s="1"/>
      <x:c r="D25" s="2"/>
      <x:c r="E25" s="2"/>
      <x:c r="F25" s="2"/>
      <x:c r="G25" s="2"/>
      <x:c r="H25" s="2"/>
      <x:c r="I25" s="2"/>
      <x:c r="J25" s="2"/>
      <x:c r="K25" s="1"/>
      <x:c r="L25" s="1"/>
    </x:row>
    <x:row r="26" ht="21" customHeight="1">
      <x:c r="A26" s="1"/>
      <x:c r="B26" s="1"/>
      <x:c r="C26" s="1"/>
      <x:c r="D26" s="2"/>
      <x:c r="E26" s="2"/>
      <x:c r="F26" s="2"/>
      <x:c r="G26" s="2"/>
      <x:c r="H26" s="2"/>
      <x:c r="I26" s="2"/>
      <x:c r="J26" s="2"/>
      <x:c r="K26" s="1"/>
      <x:c r="L26" s="1"/>
    </x:row>
    <x:row r="27" ht="21" customHeight="1">
      <x:c r="A27" s="1"/>
      <x:c r="B27" s="1"/>
      <x:c r="C27" s="1" t="str">
        <x:v>Terminal NOPAT</x:v>
      </x:c>
      <x:c r="D27" s="9" t="n">
        <x:f>H13*(1+G4)</x:f>
        <x:v>1101.9012834324587</x:v>
      </x:c>
      <x:c r="E27" s="2"/>
      <x:c r="F27" s="2"/>
      <x:c r="G27" s="2"/>
      <x:c r="H27" s="2"/>
      <x:c r="I27" s="2"/>
      <x:c r="J27" s="2"/>
      <x:c r="K27" s="1"/>
      <x:c r="L27" s="1"/>
    </x:row>
    <x:row r="28" ht="21" customHeight="1">
      <x:c r="A28" s="1"/>
      <x:c r="B28" s="1"/>
      <x:c r="C28" s="1" t="str">
        <x:v>Terminal reinvestment</x:v>
      </x:c>
      <x:c r="D28" s="9" t="n">
        <x:f>D27*G4/D5</x:f>
        <x:v>257.1102994675737</x:v>
      </x:c>
      <x:c r="E28" s="2"/>
      <x:c r="F28" s="2"/>
      <x:c r="G28" s="2"/>
      <x:c r="H28" s="2"/>
      <x:c r="I28" s="2"/>
      <x:c r="J28" s="2"/>
      <x:c r="K28" s="1"/>
      <x:c r="L28" s="1"/>
    </x:row>
    <x:row r="29" ht="21" customHeight="1">
      <x:c r="A29" s="1"/>
      <x:c r="B29" s="1"/>
      <x:c r="C29" s="1" t="str">
        <x:v>Terminal FCFF</x:v>
      </x:c>
      <x:c r="D29" s="9" t="n">
        <x:f>D27-D28</x:f>
        <x:v>844.7909839648851</x:v>
      </x:c>
      <x:c r="E29" s="2"/>
      <x:c r="F29" s="2"/>
      <x:c r="G29" s="2"/>
      <x:c r="H29" s="2"/>
      <x:c r="I29" s="2"/>
      <x:c r="J29" s="2"/>
      <x:c r="K29" s="1"/>
      <x:c r="L29" s="1"/>
    </x:row>
    <x:row r="30" ht="21" customHeight="1">
      <x:c r="A30" s="1"/>
      <x:c r="B30" s="1"/>
      <x:c r="C30" s="1" t="str">
        <x:v>Terminal value</x:v>
      </x:c>
      <x:c r="D30" s="9" t="n">
        <x:f>IF(OR(D4&lt;=G4,D5&lt;=G4),"INVALID",D29/(D4-G4))</x:f>
        <x:v>8045.6284187131905</x:v>
      </x:c>
      <x:c r="E30" s="2"/>
      <x:c r="F30" s="2"/>
      <x:c r="G30" s="2"/>
      <x:c r="H30" s="2"/>
      <x:c r="I30" s="2"/>
      <x:c r="J30" s="2"/>
      <x:c r="K30" s="1"/>
      <x:c r="L30" s="1"/>
    </x:row>
    <x:row r="31" ht="21" customHeight="1">
      <x:c r="A31" s="1"/>
      <x:c r="B31" s="1"/>
      <x:c r="C31" s="1" t="str">
        <x:v>PV of terminal value</x:v>
      </x:c>
      <x:c r="D31" s="9" t="n">
        <x:f>D30*H23</x:f>
        <x:v>4178.647285762442</x:v>
      </x:c>
      <x:c r="E31" s="2"/>
      <x:c r="F31" s="2"/>
      <x:c r="G31" s="2"/>
      <x:c r="H31" s="2"/>
      <x:c r="I31" s="2"/>
      <x:c r="J31" s="2"/>
      <x:c r="K31" s="1"/>
      <x:c r="L31" s="1"/>
    </x:row>
    <x:row r="32" ht="21" customHeight="1">
      <x:c r="A32" s="1"/>
      <x:c r="B32" s="1"/>
      <x:c r="C32" s="35" t="str">
        <x:v>Operating enterprise value</x:v>
      </x:c>
      <x:c r="D32" s="36" t="n">
        <x:f>SUM(D24:H24)+D31</x:f>
        <x:v>5803.821336549108</x:v>
      </x:c>
      <x:c r="E32" s="37"/>
      <x:c r="F32" s="37"/>
      <x:c r="G32" s="37"/>
      <x:c r="H32" s="37"/>
      <x:c r="I32" s="2"/>
      <x:c r="J32" s="2"/>
      <x:c r="K32" s="1"/>
      <x:c r="L32" s="1"/>
    </x:row>
    <x:row r="33" ht="21" customHeight="1">
      <x:c r="A33" s="1"/>
      <x:c r="B33" s="1"/>
      <x:c r="C33" s="1" t="str">
        <x:v>Debt-like obligations</x:v>
      </x:c>
      <x:c r="D33" s="20" t="n">
        <x:f>Sources!F173+Sources!F176+Sources!F174+Sources!F178+Sources!F175+Sources!F179+Sources!F177</x:f>
        <x:v>6276.631401000001</x:v>
      </x:c>
      <x:c r="E33" s="2"/>
      <x:c r="F33" s="2"/>
      <x:c r="G33" s="2"/>
      <x:c r="H33" s="2"/>
      <x:c r="I33" s="2"/>
      <x:c r="J33" s="2"/>
      <x:c r="K33" s="1"/>
      <x:c r="L33" s="1"/>
    </x:row>
    <x:row r="34" ht="21" customHeight="1">
      <x:c r="A34" s="1"/>
      <x:c r="B34" s="1"/>
      <x:c r="C34" s="1" t="str">
        <x:v>Cash</x:v>
      </x:c>
      <x:c r="D34" s="20" t="n">
        <x:f>Sources!F159</x:f>
        <x:v>744.92702</x:v>
      </x:c>
      <x:c r="E34" s="2"/>
      <x:c r="F34" s="2"/>
      <x:c r="G34" s="2"/>
      <x:c r="H34" s="2"/>
      <x:c r="I34" s="2"/>
      <x:c r="J34" s="2"/>
      <x:c r="K34" s="1"/>
      <x:c r="L34" s="1"/>
    </x:row>
    <x:row r="35" ht="21" customHeight="1">
      <x:c r="A35" s="1"/>
      <x:c r="B35" s="1"/>
      <x:c r="C35" s="1" t="str">
        <x:v>Recoverable non-operating investments</x:v>
      </x:c>
      <x:c r="D35" s="20" t="n">
        <x:f>(Sources!F166+Sources!F167+Sources!F162)*Controls!D54</x:f>
        <x:v>1269.2039157</x:v>
      </x:c>
      <x:c r="E35" s="2"/>
      <x:c r="F35" s="2"/>
      <x:c r="G35" s="2"/>
      <x:c r="H35" s="2"/>
      <x:c r="I35" s="2"/>
      <x:c r="J35" s="2"/>
      <x:c r="K35" s="1"/>
      <x:c r="L35" s="1"/>
    </x:row>
    <x:row r="36" ht="21" customHeight="1">
      <x:c r="A36" s="1"/>
      <x:c r="B36" s="1"/>
      <x:c r="C36" s="1" t="str">
        <x:v>Risk-adjusted exploration net asset</x:v>
      </x:c>
      <x:c r="D36" s="20" t="n">
        <x:f>MAX(0,Sources!F168-Sources!F188)*Controls!D49</x:f>
        <x:v>1720.4421885000002</x:v>
      </x:c>
      <x:c r="E36" s="2"/>
      <x:c r="F36" s="2"/>
      <x:c r="G36" s="2"/>
      <x:c r="H36" s="2"/>
      <x:c r="I36" s="2"/>
      <x:c r="J36" s="2"/>
      <x:c r="K36" s="1"/>
      <x:c r="L36" s="1"/>
    </x:row>
    <x:row r="37" ht="21" customHeight="1">
      <x:c r="A37" s="1"/>
      <x:c r="B37" s="1"/>
      <x:c r="C37" s="1" t="str">
        <x:v>Noncontrolling interest</x:v>
      </x:c>
      <x:c r="D37" s="20" t="n">
        <x:f>Sources!F157</x:f>
        <x:v>15.241828</x:v>
      </x:c>
      <x:c r="E37" s="2"/>
      <x:c r="F37" s="2"/>
      <x:c r="G37" s="2"/>
      <x:c r="H37" s="2"/>
      <x:c r="I37" s="2"/>
      <x:c r="J37" s="2"/>
      <x:c r="K37" s="1"/>
      <x:c r="L37" s="1"/>
    </x:row>
    <x:row r="38" ht="21" customHeight="1">
      <x:c r="A38" s="1"/>
      <x:c r="B38" s="1"/>
      <x:c r="C38" s="1" t="str">
        <x:v>Equity before zero floor</x:v>
      </x:c>
      <x:c r="D38" s="9" t="n">
        <x:f>D32-D33+D34+D35+D36-D37</x:f>
        <x:v>3246.5212317491078</x:v>
      </x:c>
      <x:c r="E38" s="2"/>
      <x:c r="F38" s="2"/>
      <x:c r="G38" s="2"/>
      <x:c r="H38" s="2"/>
      <x:c r="I38" s="2"/>
      <x:c r="J38" s="2"/>
      <x:c r="K38" s="1"/>
      <x:c r="L38" s="1"/>
    </x:row>
    <x:row r="39" ht="21" customHeight="1">
      <x:c r="A39" s="1"/>
      <x:c r="B39" s="1"/>
      <x:c r="C39" s="35" t="str">
        <x:v>Equity value</x:v>
      </x:c>
      <x:c r="D39" s="36" t="n">
        <x:f>MAX(0,D38)</x:f>
        <x:v>3246.5212317491078</x:v>
      </x:c>
      <x:c r="E39" s="37"/>
      <x:c r="F39" s="37"/>
      <x:c r="G39" s="37"/>
      <x:c r="H39" s="37"/>
      <x:c r="I39" s="2"/>
      <x:c r="J39" s="2"/>
      <x:c r="K39" s="1"/>
      <x:c r="L39" s="1"/>
    </x:row>
    <x:row r="40" ht="21" customHeight="1">
      <x:c r="A40" s="1"/>
      <x:c r="B40" s="1"/>
      <x:c r="C40" s="35" t="str">
        <x:v>DCF IDR per share</x:v>
      </x:c>
      <x:c r="D40" s="38" t="n">
        <x:f>D39*1000/Controls!D61</x:f>
        <x:v>79.79174140792273</x:v>
      </x:c>
      <x:c r="E40" s="37"/>
      <x:c r="F40" s="37"/>
      <x:c r="G40" s="37"/>
      <x:c r="H40" s="37"/>
      <x:c r="I40" s="2"/>
      <x:c r="J40" s="2"/>
      <x:c r="K40" s="1"/>
      <x:c r="L40" s="1"/>
    </x:row>
    <x:row r="41" ht="21" customHeight="1">
      <x:c r="A41" s="1"/>
      <x:c r="B41" s="1"/>
      <x:c r="C41" s="1" t="str">
        <x:v>Terminal PV / enterprise value</x:v>
      </x:c>
      <x:c r="D41" s="12" t="n">
        <x:f>IF(D32&gt;0,D31/D32,1)</x:f>
        <x:v>0.7199820675815328</x:v>
      </x:c>
      <x:c r="E41" s="2"/>
      <x:c r="F41" s="2"/>
      <x:c r="G41" s="2"/>
      <x:c r="H41" s="2"/>
      <x:c r="I41" s="2"/>
      <x:c r="J41" s="2"/>
      <x:c r="K41" s="1"/>
      <x:c r="L41" s="1"/>
    </x:row>
    <x:row r="42" ht="21" customHeight="1">
      <x:c r="A42" s="1"/>
      <x:c r="B42" s="1"/>
      <x:c r="C42" s="1"/>
      <x:c r="D42" s="2"/>
      <x:c r="E42" s="2"/>
      <x:c r="F42" s="2"/>
      <x:c r="G42" s="2"/>
      <x:c r="H42" s="2"/>
      <x:c r="I42" s="2"/>
      <x:c r="J42" s="2"/>
      <x:c r="K42" s="1"/>
      <x:c r="L42" s="1"/>
    </x:row>
    <x:row r="43" ht="21" customHeight="1">
      <x:c r="A43" s="1"/>
      <x:c r="B43" s="1"/>
      <x:c r="C43" s="1" t="str">
        <x:v>Annualized 9M2026 revenue</x:v>
      </x:c>
      <x:c r="D43" s="20" t="n">
        <x:f>History!H6*4/3</x:f>
        <x:v>6802.686241333333</x:v>
      </x:c>
      <x:c r="E43" s="2"/>
      <x:c r="F43" s="2"/>
      <x:c r="G43" s="2"/>
      <x:c r="H43" s="2"/>
      <x:c r="I43" s="2"/>
      <x:c r="J43" s="2"/>
      <x:c r="K43" s="1"/>
      <x:c r="L43" s="1"/>
    </x:row>
    <x:row r="44" ht="21" customHeight="1">
      <x:c r="A44" s="1"/>
      <x:c r="B44" s="1"/>
      <x:c r="C44" s="1" t="str">
        <x:v>Opening operating NWC</x:v>
      </x:c>
      <x:c r="D44" s="20" t="n">
        <x:f>Sources!F160+Sources!F161+Sources!F163+Sources!F164+Sources!F165-Sources!F169-Sources!F170-Sources!F172-Sources!F171</x:f>
        <x:v>831.9270249999998</x:v>
      </x:c>
      <x:c r="E44" s="2"/>
      <x:c r="F44" s="2"/>
      <x:c r="G44" s="2"/>
      <x:c r="H44" s="2"/>
      <x:c r="I44" s="2"/>
      <x:c r="J44" s="2"/>
      <x:c r="K44" s="1"/>
      <x:c r="L44" s="1"/>
    </x:row>
    <x:row r="45" ht="21" customHeight="1">
      <x:c r="A45" s="1"/>
      <x:c r="B45" s="1"/>
      <x:c r="C45" s="1"/>
      <x:c r="D45" s="2"/>
      <x:c r="E45" s="2"/>
      <x:c r="F45" s="2"/>
      <x:c r="G45" s="2"/>
      <x:c r="H45" s="2"/>
      <x:c r="I45" s="2"/>
      <x:c r="J45" s="2"/>
      <x:c r="K45" s="1"/>
      <x:c r="L45" s="1"/>
    </x:row>
    <x:row r="46" ht="21" customHeight="1">
      <x:c r="A46" s="1"/>
      <x:c r="B46" s="1"/>
      <x:c r="C46" s="1"/>
      <x:c r="D46" s="2"/>
      <x:c r="E46" s="2"/>
      <x:c r="F46" s="2"/>
      <x:c r="G46" s="2"/>
      <x:c r="H46" s="2"/>
      <x:c r="I46" s="2"/>
      <x:c r="J46" s="2"/>
      <x:c r="K46" s="1"/>
      <x:c r="L46" s="1"/>
    </x:row>
    <x:row r="47" ht="25" customHeight="1">
      <x:c r="A47" s="1"/>
      <x:c r="B47" s="1"/>
      <x:c r="C47" s="16" t="str">
        <x:v>DCF sensitivity / IDR per share</x:v>
      </x:c>
      <x:c r="D47" s="17"/>
      <x:c r="E47" s="17"/>
      <x:c r="F47" s="17"/>
      <x:c r="G47" s="17"/>
      <x:c r="H47" s="17"/>
      <x:c r="I47" s="17"/>
      <x:c r="J47" s="17"/>
      <x:c r="K47" s="1"/>
      <x:c r="L47" s="1"/>
    </x:row>
    <x:row r="48" ht="21" customHeight="1">
      <x:c r="A48" s="1"/>
      <x:c r="B48" s="1"/>
      <x:c r="C48" s="1" t="str">
        <x:v>Rows WACC / columns terminal growth</x:v>
      </x:c>
      <x:c r="D48" s="2"/>
      <x:c r="E48" s="2"/>
      <x:c r="F48" s="2"/>
      <x:c r="G48" s="2"/>
      <x:c r="H48" s="2"/>
      <x:c r="I48" s="2"/>
      <x:c r="J48" s="2"/>
      <x:c r="K48" s="1"/>
      <x:c r="L48" s="1"/>
    </x:row>
    <x:row r="49" ht="21" customHeight="1">
      <x:c r="A49" s="1"/>
      <x:c r="B49" s="1"/>
      <x:c r="C49" s="1"/>
      <x:c r="D49" s="9" t="n">
        <x:f>D40</x:f>
        <x:v>79.79174140792273</x:v>
      </x:c>
      <x:c r="E49" s="22" t="n">
        <x:v>0.02</x:v>
      </x:c>
      <x:c r="F49" s="22" t="n">
        <x:v>0.025</x:v>
      </x:c>
      <x:c r="G49" s="22" t="n">
        <x:v>0.03</x:v>
      </x:c>
      <x:c r="H49" s="22" t="n">
        <x:v>0.035</x:v>
      </x:c>
      <x:c r="I49" s="22" t="n">
        <x:v>0.04</x:v>
      </x:c>
      <x:c r="J49" s="2"/>
      <x:c r="K49" s="1"/>
      <x:c r="L49" s="1"/>
    </x:row>
    <x:row r="50" ht="21" customHeight="1">
      <x:c r="A50" s="1"/>
      <x:c r="B50" s="1"/>
      <x:c r="C50" s="1"/>
      <x:c r="D50" s="22" t="n">
        <x:v>0.1</x:v>
      </x:c>
      <x:c r="E50" s="2" t="n">
        <x:f t="dataTable" ref="E50:I54" dt2D="1" r1="G4" r2="D4"/>
        <x:v>161.4148318918258</x:v>
      </x:c>
      <x:c r="F50" s="2" t="n">
        <x:v>166.9208284958203</x:v>
      </x:c>
      <x:c r="G50" s="2" t="n">
        <x:v>173.136028409463</x:v>
      </x:c>
      <x:c r="H50" s="2" t="n">
        <x:v>180.22409393498</x:v>
      </x:c>
      <x:c r="I50" s="2" t="n">
        <x:v>188.4032414753402</x:v>
      </x:c>
      <x:c r="J50" s="2"/>
      <x:c r="K50" s="1"/>
      <x:c r="L50" s="1"/>
    </x:row>
    <x:row r="51" ht="21" customHeight="1">
      <x:c r="A51" s="1"/>
      <x:c r="B51" s="1"/>
      <x:c r="C51" s="1"/>
      <x:c r="D51" s="22" t="n">
        <x:v>0.12</x:v>
      </x:c>
      <x:c r="E51" s="2" t="n">
        <x:v>110.6360193297185</x:v>
      </x:c>
      <x:c r="F51" s="2" t="n">
        <x:v>112.881370800277</x:v>
      </x:c>
      <x:c r="G51" s="2" t="n">
        <x:v>115.3212152056403</x:v>
      </x:c>
      <x:c r="H51" s="2" t="n">
        <x:v>117.989874828421</x:v>
      </x:c>
      <x:c r="I51" s="2" t="n">
        <x:v>120.9302525218849</x:v>
      </x:c>
      <x:c r="J51" s="2"/>
      <x:c r="K51" s="1"/>
      <x:c r="L51" s="1"/>
    </x:row>
    <x:row r="52" ht="21" customHeight="1">
      <x:c r="A52" s="1"/>
      <x:c r="B52" s="1"/>
      <x:c r="C52" s="1"/>
      <x:c r="D52" s="22" t="n">
        <x:v>0.14</x:v>
      </x:c>
      <x:c r="E52" s="2" t="n">
        <x:v>77.2031799829154</x:v>
      </x:c>
      <x:c r="F52" s="2" t="n">
        <x:v>78.0303941774286</x:v>
      </x:c>
      <x:c r="G52" s="2" t="n">
        <x:v>78.8916280033179</x:v>
      </x:c>
      <x:c r="H52" s="2" t="n">
        <x:v>79.7917414079227</x:v>
      </x:c>
      <x:c r="I52" s="2" t="n">
        <x:v>80.7365663280504</x:v>
      </x:c>
      <x:c r="J52" s="2"/>
      <x:c r="K52" s="1"/>
      <x:c r="L52" s="1"/>
    </x:row>
    <x:row r="53" ht="21" customHeight="1">
      <x:c r="A53" s="1"/>
      <x:c r="B53" s="1"/>
      <x:c r="C53" s="1"/>
      <x:c r="D53" s="22" t="n">
        <x:v>0.16</x:v>
      </x:c>
      <x:c r="E53" s="2" t="n">
        <x:v>53.6444695535711</x:v>
      </x:c>
      <x:c r="F53" s="2" t="n">
        <x:v>53.8048649466383</x:v>
      </x:c>
      <x:c r="G53" s="2" t="n">
        <x:v>53.9456545803842</x:v>
      </x:c>
      <x:c r="H53" s="2" t="n">
        <x:v>54.0644857636905</x:v>
      </x:c>
      <x:c r="I53" s="2" t="n">
        <x:v>54.1586136902521</x:v>
      </x:c>
      <x:c r="J53" s="2"/>
      <x:c r="K53" s="1"/>
      <x:c r="L53" s="1"/>
    </x:row>
    <x:row r="54" ht="21" customHeight="1">
      <x:c r="A54" s="1"/>
      <x:c r="B54" s="1"/>
      <x:c r="C54" s="1"/>
      <x:c r="D54" s="22" t="n">
        <x:v>0.18</x:v>
      </x:c>
      <x:c r="E54" s="2" t="n">
        <x:v>36.2280256650713</x:v>
      </x:c>
      <x:c r="F54" s="2" t="n">
        <x:v>36.065071701546</x:v>
      </x:c>
      <x:c r="G54" s="2" t="n">
        <x:v>35.8658374216131</x:v>
      </x:c>
      <x:c r="H54" s="2" t="n">
        <x:v>35.6265696890927</x:v>
      </x:c>
      <x:c r="I54" s="2" t="n">
        <x:v>35.3429792054931</x:v>
      </x:c>
      <x:c r="J54" s="2"/>
      <x:c r="K54" s="1"/>
      <x:c r="L54" s="1"/>
    </x:row>
    <x:row r="55" ht="21" customHeight="1">
      <x:c r="A55" s="1"/>
      <x:c r="B55" s="1"/>
      <x:c r="C55" s="1"/>
      <x:c r="D55" s="2"/>
      <x:c r="E55" s="2"/>
      <x:c r="F55" s="2"/>
      <x:c r="G55" s="2"/>
      <x:c r="H55" s="2"/>
      <x:c r="I55" s="2"/>
      <x:c r="J55" s="2"/>
      <x:c r="K55" s="1"/>
      <x:c r="L55" s="1"/>
    </x:row>
    <x:row r="56" ht="21" customHeight="1">
      <x:c r="A56" s="1"/>
      <x:c r="B56" s="1"/>
      <x:c r="C56" s="1"/>
      <x:c r="D56" s="2"/>
      <x:c r="E56" s="2"/>
      <x:c r="F56" s="2"/>
      <x:c r="G56" s="2"/>
      <x:c r="H56" s="2"/>
      <x:c r="I56" s="2"/>
      <x:c r="J56" s="2"/>
      <x:c r="K56" s="1"/>
      <x:c r="L56" s="1"/>
    </x:row>
    <x:row r="57" ht="21" customHeight="1">
      <x:c r="A57" s="1"/>
      <x:c r="B57" s="1"/>
      <x:c r="C57" s="1"/>
      <x:c r="D57" s="2"/>
      <x:c r="E57" s="2"/>
      <x:c r="F57" s="2"/>
      <x:c r="G57" s="2"/>
      <x:c r="H57" s="2"/>
      <x:c r="I57" s="2"/>
      <x:c r="J57" s="2"/>
      <x:c r="K57" s="1"/>
      <x:c r="L57" s="1"/>
    </x:row>
    <x:row r="58" ht="21" customHeight="1">
      <x:c r="A58" s="1"/>
      <x:c r="B58" s="1"/>
      <x:c r="C58" s="1"/>
      <x:c r="D58" s="2"/>
      <x:c r="E58" s="2"/>
      <x:c r="F58" s="2"/>
      <x:c r="G58" s="2"/>
      <x:c r="H58" s="2"/>
      <x:c r="I58" s="2"/>
      <x:c r="J58" s="2"/>
      <x:c r="K58" s="1"/>
      <x:c r="L58" s="1"/>
    </x:row>
    <x:row r="59" ht="21" customHeight="1">
      <x:c r="A59" s="1"/>
      <x:c r="B59" s="1"/>
      <x:c r="C59" s="1"/>
      <x:c r="D59" s="2"/>
      <x:c r="E59" s="2"/>
      <x:c r="F59" s="2"/>
      <x:c r="G59" s="2"/>
      <x:c r="H59" s="2"/>
      <x:c r="I59" s="2"/>
      <x:c r="J59" s="2"/>
      <x:c r="K59" s="1"/>
      <x:c r="L59" s="1"/>
    </x:row>
    <x:row r="60" ht="21" customHeight="1">
      <x:c r="A60" s="1"/>
      <x:c r="B60" s="1"/>
      <x:c r="C60" s="1"/>
      <x:c r="D60" s="2"/>
      <x:c r="E60" s="2"/>
      <x:c r="F60" s="2"/>
      <x:c r="G60" s="2"/>
      <x:c r="H60" s="2"/>
      <x:c r="I60" s="2"/>
      <x:c r="J60" s="2"/>
      <x:c r="K60" s="1"/>
      <x:c r="L60" s="1"/>
    </x:row>
    <x:row r="61" ht="21" customHeight="1">
      <x:c r="A61" s="1"/>
      <x:c r="B61" s="1"/>
      <x:c r="C61" s="1"/>
      <x:c r="D61" s="2"/>
      <x:c r="E61" s="2"/>
      <x:c r="F61" s="2"/>
      <x:c r="G61" s="2"/>
      <x:c r="H61" s="2"/>
      <x:c r="I61" s="2"/>
      <x:c r="J61" s="2"/>
      <x:c r="K61" s="1"/>
      <x:c r="L61" s="1"/>
    </x:row>
    <x:row r="62" ht="21" customHeight="1">
      <x:c r="A62" s="1"/>
      <x:c r="B62" s="1"/>
      <x:c r="C62" s="1"/>
      <x:c r="D62" s="2"/>
      <x:c r="E62" s="2"/>
      <x:c r="F62" s="2"/>
      <x:c r="G62" s="2"/>
      <x:c r="H62" s="2"/>
      <x:c r="I62" s="2"/>
      <x:c r="J62" s="2"/>
      <x:c r="K62" s="1"/>
      <x:c r="L62" s="1"/>
    </x:row>
    <x:row r="63" ht="21" customHeight="1">
      <x:c r="A63" s="1"/>
      <x:c r="B63" s="1"/>
      <x:c r="C63" s="1"/>
      <x:c r="D63" s="2"/>
      <x:c r="E63" s="2"/>
      <x:c r="F63" s="2"/>
      <x:c r="G63" s="2"/>
      <x:c r="H63" s="2"/>
      <x:c r="I63" s="2"/>
      <x:c r="J63" s="2"/>
      <x:c r="K63" s="1"/>
      <x:c r="L63" s="1"/>
    </x:row>
    <x:row r="64" ht="21" customHeight="1">
      <x:c r="A64" s="1"/>
      <x:c r="B64" s="1"/>
      <x:c r="C64" s="1"/>
      <x:c r="D64" s="2"/>
      <x:c r="E64" s="2"/>
      <x:c r="F64" s="2"/>
      <x:c r="G64" s="2"/>
      <x:c r="H64" s="2"/>
      <x:c r="I64" s="2"/>
      <x:c r="J64" s="2"/>
      <x:c r="K64" s="1"/>
      <x:c r="L64" s="1"/>
    </x:row>
    <x:row r="65" ht="21" customHeight="1">
      <x:c r="A65" s="1"/>
      <x:c r="B65" s="1"/>
      <x:c r="C65" s="1"/>
      <x:c r="D65" s="2"/>
      <x:c r="E65" s="2"/>
      <x:c r="F65" s="2"/>
      <x:c r="G65" s="2"/>
      <x:c r="H65" s="2"/>
      <x:c r="I65" s="2"/>
      <x:c r="J65" s="2"/>
      <x:c r="K65" s="1"/>
      <x:c r="L65" s="1"/>
    </x:row>
    <x:row r="66" ht="21" customHeight="1">
      <x:c r="A66" s="1"/>
      <x:c r="B66" s="1"/>
      <x:c r="C66" s="1"/>
      <x:c r="D66" s="2"/>
      <x:c r="E66" s="2"/>
      <x:c r="F66" s="2"/>
      <x:c r="G66" s="2"/>
      <x:c r="H66" s="2"/>
      <x:c r="I66" s="2"/>
      <x:c r="J66" s="2"/>
      <x:c r="K66" s="1"/>
      <x:c r="L66" s="1"/>
    </x:row>
    <x:row r="67" ht="21" customHeight="1">
      <x:c r="A67" s="1"/>
      <x:c r="B67" s="1"/>
      <x:c r="C67" s="1"/>
      <x:c r="D67" s="2"/>
      <x:c r="E67" s="2"/>
      <x:c r="F67" s="2"/>
      <x:c r="G67" s="2"/>
      <x:c r="H67" s="2"/>
      <x:c r="I67" s="2"/>
      <x:c r="J67" s="2"/>
      <x:c r="K67" s="1"/>
      <x:c r="L67" s="1"/>
    </x:row>
    <x:row r="68" ht="21" customHeight="1">
      <x:c r="A68" s="1"/>
      <x:c r="B68" s="1"/>
      <x:c r="C68" s="1"/>
      <x:c r="D68" s="2"/>
      <x:c r="E68" s="2"/>
      <x:c r="F68" s="2"/>
      <x:c r="G68" s="2"/>
      <x:c r="H68" s="2"/>
      <x:c r="I68" s="2"/>
      <x:c r="J68" s="2"/>
      <x:c r="K68" s="1"/>
      <x:c r="L68" s="1"/>
    </x:row>
    <x:row r="69" ht="21" customHeight="1">
      <x:c r="A69" s="1"/>
      <x:c r="B69" s="1"/>
      <x:c r="C69" s="1"/>
      <x:c r="D69" s="2"/>
      <x:c r="E69" s="2"/>
      <x:c r="F69" s="2"/>
      <x:c r="G69" s="2"/>
      <x:c r="H69" s="2"/>
      <x:c r="I69" s="2"/>
      <x:c r="J69" s="2"/>
      <x:c r="K69" s="1"/>
      <x:c r="L69" s="1"/>
    </x:row>
    <x:row r="70" ht="21" customHeight="1">
      <x:c r="A70" s="1"/>
      <x:c r="B70" s="1"/>
      <x:c r="C70" s="1"/>
      <x:c r="D70" s="2"/>
      <x:c r="E70" s="2"/>
      <x:c r="F70" s="2"/>
      <x:c r="G70" s="2"/>
      <x:c r="H70" s="2"/>
      <x:c r="I70" s="2"/>
      <x:c r="J70" s="2"/>
      <x:c r="K70" s="1"/>
      <x:c r="L70" s="1"/>
    </x:row>
    <x:row r="71" ht="21" customHeight="1">
      <x:c r="A71" s="1"/>
      <x:c r="B71" s="1"/>
      <x:c r="C71" s="1"/>
      <x:c r="D71" s="2"/>
      <x:c r="E71" s="2"/>
      <x:c r="F71" s="2"/>
      <x:c r="G71" s="2"/>
      <x:c r="H71" s="2"/>
      <x:c r="I71" s="2"/>
      <x:c r="J71" s="2"/>
      <x:c r="K71" s="1"/>
      <x:c r="L71" s="1"/>
    </x:row>
    <x:row r="72" ht="21" customHeight="1">
      <x:c r="A72" s="1"/>
      <x:c r="B72" s="1"/>
      <x:c r="C72" s="1"/>
      <x:c r="D72" s="2"/>
      <x:c r="E72" s="2"/>
      <x:c r="F72" s="2"/>
      <x:c r="G72" s="2"/>
      <x:c r="H72" s="2"/>
      <x:c r="I72" s="2"/>
      <x:c r="J72" s="2"/>
      <x:c r="K72" s="1"/>
      <x:c r="L72" s="1"/>
    </x:row>
    <x:row r="73" ht="21" customHeight="1">
      <x:c r="A73" s="1"/>
      <x:c r="B73" s="1"/>
      <x:c r="C73" s="1"/>
      <x:c r="D73" s="2"/>
      <x:c r="E73" s="2"/>
      <x:c r="F73" s="2"/>
      <x:c r="G73" s="2"/>
      <x:c r="H73" s="2"/>
      <x:c r="I73" s="2"/>
      <x:c r="J73" s="2"/>
      <x:c r="K73" s="1"/>
      <x:c r="L73" s="1"/>
    </x:row>
    <x:row r="74" ht="21" customHeight="1">
      <x:c r="A74" s="1"/>
      <x:c r="B74" s="1"/>
      <x:c r="C74" s="1"/>
      <x:c r="D74" s="2"/>
      <x:c r="E74" s="2"/>
      <x:c r="F74" s="2"/>
      <x:c r="G74" s="2"/>
      <x:c r="H74" s="2"/>
      <x:c r="I74" s="2"/>
      <x:c r="J74" s="2"/>
      <x:c r="K74" s="1"/>
      <x:c r="L74" s="1"/>
    </x:row>
    <x:row r="75" ht="21" customHeight="1">
      <x:c r="A75" s="1"/>
      <x:c r="B75" s="1"/>
      <x:c r="C75" s="1"/>
      <x:c r="D75" s="2"/>
      <x:c r="E75" s="2"/>
      <x:c r="F75" s="2"/>
      <x:c r="G75" s="2"/>
      <x:c r="H75" s="2"/>
      <x:c r="I75" s="2"/>
      <x:c r="J75" s="2"/>
      <x:c r="K75" s="1"/>
      <x:c r="L75" s="1"/>
    </x:row>
    <x:row r="76" ht="21" customHeight="1">
      <x:c r="A76" s="1"/>
      <x:c r="B76" s="1"/>
      <x:c r="C76" s="1"/>
      <x:c r="D76" s="2"/>
      <x:c r="E76" s="2"/>
      <x:c r="F76" s="2"/>
      <x:c r="G76" s="2"/>
      <x:c r="H76" s="2"/>
      <x:c r="I76" s="2"/>
      <x:c r="J76" s="2"/>
      <x:c r="K76" s="1"/>
      <x:c r="L76" s="1"/>
    </x:row>
    <x:row r="77" ht="21" customHeight="1">
      <x:c r="A77" s="1"/>
      <x:c r="B77" s="1"/>
      <x:c r="C77" s="1"/>
      <x:c r="D77" s="2"/>
      <x:c r="E77" s="2"/>
      <x:c r="F77" s="2"/>
      <x:c r="G77" s="2"/>
      <x:c r="H77" s="2"/>
      <x:c r="I77" s="2"/>
      <x:c r="J77" s="2"/>
      <x:c r="K77" s="1"/>
      <x:c r="L77" s="1"/>
    </x:row>
    <x:row r="78" ht="21" customHeight="1">
      <x:c r="A78" s="1"/>
      <x:c r="B78" s="1"/>
      <x:c r="C78" s="1"/>
      <x:c r="D78" s="2"/>
      <x:c r="E78" s="2"/>
      <x:c r="F78" s="2"/>
      <x:c r="G78" s="2"/>
      <x:c r="H78" s="2"/>
      <x:c r="I78" s="2"/>
      <x:c r="J78" s="2"/>
      <x:c r="K78" s="1"/>
      <x:c r="L78" s="1"/>
    </x:row>
    <x:row r="79" ht="21" customHeight="1">
      <x:c r="A79" s="1"/>
      <x:c r="B79" s="1"/>
      <x:c r="C79" s="1"/>
      <x:c r="D79" s="2"/>
      <x:c r="E79" s="2"/>
      <x:c r="F79" s="2"/>
      <x:c r="G79" s="2"/>
      <x:c r="H79" s="2"/>
      <x:c r="I79" s="2"/>
      <x:c r="J79" s="2"/>
      <x:c r="K79" s="1"/>
      <x:c r="L79" s="1"/>
    </x:row>
    <x:row r="80" ht="21" customHeight="1">
      <x:c r="A80" s="1"/>
      <x:c r="B80" s="1"/>
      <x:c r="C80" s="1"/>
      <x:c r="D80" s="2"/>
      <x:c r="E80" s="2"/>
      <x:c r="F80" s="2"/>
      <x:c r="G80" s="2"/>
      <x:c r="H80" s="2"/>
      <x:c r="I80" s="2"/>
      <x:c r="J80" s="2"/>
      <x:c r="K80" s="1"/>
      <x:c r="L80" s="1"/>
    </x:row>
    <x:row r="81" ht="21" customHeight="1">
      <x:c r="A81" s="1"/>
      <x:c r="B81" s="1"/>
      <x:c r="C81" s="1"/>
      <x:c r="D81" s="2"/>
      <x:c r="E81" s="2"/>
      <x:c r="F81" s="2"/>
      <x:c r="G81" s="2"/>
      <x:c r="H81" s="2"/>
      <x:c r="I81" s="2"/>
      <x:c r="J81" s="2"/>
      <x:c r="K81" s="1"/>
      <x:c r="L81" s="1"/>
    </x:row>
    <x:row r="82" ht="21" customHeight="1">
      <x:c r="A82" s="1"/>
      <x:c r="B82" s="1"/>
      <x:c r="C82" s="1"/>
      <x:c r="D82" s="2"/>
      <x:c r="E82" s="2"/>
      <x:c r="F82" s="2"/>
      <x:c r="G82" s="2"/>
      <x:c r="H82" s="2"/>
      <x:c r="I82" s="2"/>
      <x:c r="J82" s="2"/>
      <x:c r="K82" s="1"/>
      <x:c r="L82" s="1"/>
    </x:row>
    <x:row r="83" ht="21" customHeight="1">
      <x:c r="A83" s="1"/>
      <x:c r="B83" s="1"/>
      <x:c r="C83" s="1"/>
      <x:c r="D83" s="2"/>
      <x:c r="E83" s="2"/>
      <x:c r="F83" s="2"/>
      <x:c r="G83" s="2"/>
      <x:c r="H83" s="2"/>
      <x:c r="I83" s="2"/>
      <x:c r="J83" s="2"/>
      <x:c r="K83" s="1"/>
      <x:c r="L83" s="1"/>
    </x:row>
    <x:row r="84" ht="21" customHeight="1">
      <x:c r="A84" s="1"/>
      <x:c r="B84" s="1"/>
      <x:c r="C84" s="1"/>
      <x:c r="D84" s="2"/>
      <x:c r="E84" s="2"/>
      <x:c r="F84" s="2"/>
      <x:c r="G84" s="2"/>
      <x:c r="H84" s="2"/>
      <x:c r="I84" s="2"/>
      <x:c r="J84" s="2"/>
      <x:c r="K84" s="1"/>
      <x:c r="L84" s="1"/>
    </x:row>
    <x:row r="85" ht="21" customHeight="1">
      <x:c r="A85" s="1"/>
      <x:c r="B85" s="1"/>
      <x:c r="C85" s="1"/>
      <x:c r="D85" s="2"/>
      <x:c r="E85" s="2"/>
      <x:c r="F85" s="2"/>
      <x:c r="G85" s="2"/>
      <x:c r="H85" s="2"/>
      <x:c r="I85" s="2"/>
      <x:c r="J85" s="2"/>
      <x:c r="K85" s="1"/>
      <x:c r="L85" s="1"/>
    </x:row>
    <x:row r="86" ht="21" customHeight="1">
      <x:c r="A86" s="1"/>
      <x:c r="B86" s="1"/>
      <x:c r="C86" s="1"/>
      <x:c r="D86" s="2"/>
      <x:c r="E86" s="2"/>
      <x:c r="F86" s="2"/>
      <x:c r="G86" s="2"/>
      <x:c r="H86" s="2"/>
      <x:c r="I86" s="2"/>
      <x:c r="J86" s="2"/>
      <x:c r="K86" s="1"/>
      <x:c r="L86" s="1"/>
    </x:row>
    <x:row r="87" ht="21" customHeight="1">
      <x:c r="A87" s="1"/>
      <x:c r="B87" s="1"/>
      <x:c r="C87" s="1"/>
      <x:c r="D87" s="2"/>
      <x:c r="E87" s="2"/>
      <x:c r="F87" s="2"/>
      <x:c r="G87" s="2"/>
      <x:c r="H87" s="2"/>
      <x:c r="I87" s="2"/>
      <x:c r="J87" s="2"/>
      <x:c r="K87" s="1"/>
      <x:c r="L87" s="1"/>
    </x:row>
    <x:row r="88" ht="21" customHeight="1">
      <x:c r="A88" s="1"/>
      <x:c r="B88" s="1"/>
      <x:c r="C88" s="1"/>
      <x:c r="D88" s="2"/>
      <x:c r="E88" s="2"/>
      <x:c r="F88" s="2"/>
      <x:c r="G88" s="2"/>
      <x:c r="H88" s="2"/>
      <x:c r="I88" s="2"/>
      <x:c r="J88" s="2"/>
      <x:c r="K88" s="1"/>
      <x:c r="L88" s="1"/>
    </x:row>
    <x:row r="89" ht="21" customHeight="1">
      <x:c r="A89" s="1"/>
      <x:c r="B89" s="1"/>
      <x:c r="C89" s="1"/>
      <x:c r="D89" s="2"/>
      <x:c r="E89" s="2"/>
      <x:c r="F89" s="2"/>
      <x:c r="G89" s="2"/>
      <x:c r="H89" s="2"/>
      <x:c r="I89" s="2"/>
      <x:c r="J89" s="2"/>
      <x:c r="K89" s="1"/>
      <x:c r="L89" s="1"/>
    </x:row>
    <x:row r="90" ht="21" customHeight="1">
      <x:c r="A90" s="1"/>
      <x:c r="B90" s="1"/>
      <x:c r="C90" s="1"/>
      <x:c r="D90" s="2"/>
      <x:c r="E90" s="2"/>
      <x:c r="F90" s="2"/>
      <x:c r="G90" s="2"/>
      <x:c r="H90" s="2"/>
      <x:c r="I90" s="2"/>
      <x:c r="J90" s="2"/>
      <x:c r="K90" s="1"/>
      <x:c r="L90" s="1"/>
    </x:row>
    <x:row r="91" ht="21" customHeight="1">
      <x:c r="A91" s="1"/>
      <x:c r="B91" s="1"/>
      <x:c r="C91" s="1"/>
      <x:c r="D91" s="2"/>
      <x:c r="E91" s="2"/>
      <x:c r="F91" s="2"/>
      <x:c r="G91" s="2"/>
      <x:c r="H91" s="2"/>
      <x:c r="I91" s="2"/>
      <x:c r="J91" s="2"/>
      <x:c r="K91" s="1"/>
      <x:c r="L91" s="1"/>
    </x:row>
    <x:row r="92" ht="21" customHeight="1">
      <x:c r="A92" s="1"/>
      <x:c r="B92" s="1"/>
      <x:c r="C92" s="1"/>
      <x:c r="D92" s="2"/>
      <x:c r="E92" s="2"/>
      <x:c r="F92" s="2"/>
      <x:c r="G92" s="2"/>
      <x:c r="H92" s="2"/>
      <x:c r="I92" s="2"/>
      <x:c r="J92" s="2"/>
      <x:c r="K92" s="1"/>
      <x:c r="L92" s="1"/>
    </x:row>
    <x:row r="93" ht="21" customHeight="1">
      <x:c r="A93" s="1"/>
      <x:c r="B93" s="1"/>
      <x:c r="C93" s="1"/>
      <x:c r="D93" s="2"/>
      <x:c r="E93" s="2"/>
      <x:c r="F93" s="2"/>
      <x:c r="G93" s="2"/>
      <x:c r="H93" s="2"/>
      <x:c r="I93" s="2"/>
      <x:c r="J93" s="2"/>
      <x:c r="K93" s="1"/>
      <x:c r="L93" s="1"/>
    </x:row>
    <x:row r="94" ht="21" customHeight="1">
      <x:c r="A94" s="1"/>
      <x:c r="B94" s="1"/>
      <x:c r="C94" s="1"/>
      <x:c r="D94" s="2"/>
      <x:c r="E94" s="2"/>
      <x:c r="F94" s="2"/>
      <x:c r="G94" s="2"/>
      <x:c r="H94" s="2"/>
      <x:c r="I94" s="2"/>
      <x:c r="J94" s="2"/>
      <x:c r="K94" s="1"/>
      <x:c r="L94" s="1"/>
    </x:row>
    <x:row r="95" ht="21" customHeight="1">
      <x:c r="A95" s="1"/>
      <x:c r="B95" s="1"/>
      <x:c r="C95" s="1"/>
      <x:c r="D95" s="2"/>
      <x:c r="E95" s="2"/>
      <x:c r="F95" s="2"/>
      <x:c r="G95" s="2"/>
      <x:c r="H95" s="2"/>
      <x:c r="I95" s="2"/>
      <x:c r="J95" s="2"/>
      <x:c r="K95" s="1"/>
      <x:c r="L95" s="1"/>
    </x:row>
    <x:row r="96" ht="21" customHeight="1">
      <x:c r="A96" s="1"/>
      <x:c r="B96" s="1"/>
      <x:c r="C96" s="1"/>
      <x:c r="D96" s="2"/>
      <x:c r="E96" s="2"/>
      <x:c r="F96" s="2"/>
      <x:c r="G96" s="2"/>
      <x:c r="H96" s="2"/>
      <x:c r="I96" s="2"/>
      <x:c r="J96" s="2"/>
      <x:c r="K96" s="1"/>
      <x:c r="L96" s="1"/>
    </x:row>
    <x:row r="97" ht="21" customHeight="1">
      <x:c r="A97" s="1"/>
      <x:c r="B97" s="1"/>
      <x:c r="C97" s="1"/>
      <x:c r="D97" s="2"/>
      <x:c r="E97" s="2"/>
      <x:c r="F97" s="2"/>
      <x:c r="G97" s="2"/>
      <x:c r="H97" s="2"/>
      <x:c r="I97" s="2"/>
      <x:c r="J97" s="2"/>
      <x:c r="K97" s="1"/>
      <x:c r="L97" s="1"/>
    </x:row>
    <x:row r="98" ht="21" customHeight="1">
      <x:c r="A98" s="1"/>
      <x:c r="B98" s="1"/>
      <x:c r="C98" s="1"/>
      <x:c r="D98" s="2"/>
      <x:c r="E98" s="2"/>
      <x:c r="F98" s="2"/>
      <x:c r="G98" s="2"/>
      <x:c r="H98" s="2"/>
      <x:c r="I98" s="2"/>
      <x:c r="J98" s="2"/>
      <x:c r="K98" s="1"/>
      <x:c r="L98" s="1"/>
    </x:row>
    <x:row r="99" ht="21" customHeight="1">
      <x:c r="A99" s="1"/>
      <x:c r="B99" s="1"/>
      <x:c r="C99" s="1"/>
      <x:c r="D99" s="2"/>
      <x:c r="E99" s="2"/>
      <x:c r="F99" s="2"/>
      <x:c r="G99" s="2"/>
      <x:c r="H99" s="2"/>
      <x:c r="I99" s="2"/>
      <x:c r="J99" s="2"/>
      <x:c r="K99" s="1"/>
      <x:c r="L99" s="1"/>
    </x:row>
    <x:row r="100" ht="21" customHeight="1">
      <x:c r="A100" s="1"/>
      <x:c r="B100" s="1"/>
      <x:c r="C100" s="1"/>
      <x:c r="D100" s="2"/>
      <x:c r="E100" s="2"/>
      <x:c r="F100" s="2"/>
      <x:c r="G100" s="2"/>
      <x:c r="H100" s="2"/>
      <x:c r="I100" s="2"/>
      <x:c r="J100" s="2"/>
      <x:c r="K100" s="1"/>
      <x:c r="L100" s="1"/>
    </x:row>
    <x:row r="101" ht="21" customHeight="1">
      <x:c r="A101" s="1"/>
      <x:c r="B101" s="1"/>
      <x:c r="C101" s="1"/>
      <x:c r="D101" s="2"/>
      <x:c r="E101" s="2"/>
      <x:c r="F101" s="2"/>
      <x:c r="G101" s="2"/>
      <x:c r="H101" s="2"/>
      <x:c r="I101" s="2"/>
      <x:c r="J101" s="2"/>
      <x:c r="K101" s="1"/>
      <x:c r="L101" s="1"/>
    </x:row>
    <x:row r="102" ht="21" customHeight="1">
      <x:c r="A102" s="1"/>
      <x:c r="B102" s="1"/>
      <x:c r="C102" s="1"/>
      <x:c r="D102" s="2"/>
      <x:c r="E102" s="2"/>
      <x:c r="F102" s="2"/>
      <x:c r="G102" s="2"/>
      <x:c r="H102" s="2"/>
      <x:c r="I102" s="2"/>
      <x:c r="J102" s="2"/>
      <x:c r="K102" s="1"/>
      <x:c r="L102" s="1"/>
    </x:row>
    <x:row r="103" ht="21" customHeight="1">
      <x:c r="A103" s="1"/>
      <x:c r="B103" s="1"/>
      <x:c r="C103" s="1"/>
      <x:c r="D103" s="2"/>
      <x:c r="E103" s="2"/>
      <x:c r="F103" s="2"/>
      <x:c r="G103" s="2"/>
      <x:c r="H103" s="2"/>
      <x:c r="I103" s="2"/>
      <x:c r="J103" s="2"/>
      <x:c r="K103" s="1"/>
      <x:c r="L103" s="1"/>
    </x:row>
    <x:row r="104" ht="21" customHeight="1">
      <x:c r="A104" s="1"/>
      <x:c r="B104" s="1"/>
      <x:c r="C104" s="1"/>
      <x:c r="D104" s="2"/>
      <x:c r="E104" s="2"/>
      <x:c r="F104" s="2"/>
      <x:c r="G104" s="2"/>
      <x:c r="H104" s="2"/>
      <x:c r="I104" s="2"/>
      <x:c r="J104" s="2"/>
      <x:c r="K104" s="1"/>
      <x:c r="L104" s="1"/>
    </x:row>
    <x:row r="105" ht="21" customHeight="1">
      <x:c r="A105" s="1"/>
      <x:c r="B105" s="1"/>
      <x:c r="C105" s="1"/>
      <x:c r="D105" s="2"/>
      <x:c r="E105" s="2"/>
      <x:c r="F105" s="2"/>
      <x:c r="G105" s="2"/>
      <x:c r="H105" s="2"/>
      <x:c r="I105" s="2"/>
      <x:c r="J105" s="2"/>
      <x:c r="K105" s="1"/>
      <x:c r="L105" s="1"/>
    </x:row>
    <x:row r="106" ht="21" customHeight="1">
      <x:c r="A106" s="1"/>
      <x:c r="B106" s="1"/>
      <x:c r="C106" s="1"/>
      <x:c r="D106" s="2"/>
      <x:c r="E106" s="2"/>
      <x:c r="F106" s="2"/>
      <x:c r="G106" s="2"/>
      <x:c r="H106" s="2"/>
      <x:c r="I106" s="2"/>
      <x:c r="J106" s="2"/>
      <x:c r="K106" s="1"/>
      <x:c r="L106" s="1"/>
    </x:row>
    <x:row r="107" ht="21" customHeight="1">
      <x:c r="A107" s="1"/>
      <x:c r="B107" s="1"/>
      <x:c r="C107" s="1"/>
      <x:c r="D107" s="2"/>
      <x:c r="E107" s="2"/>
      <x:c r="F107" s="2"/>
      <x:c r="G107" s="2"/>
      <x:c r="H107" s="2"/>
      <x:c r="I107" s="2"/>
      <x:c r="J107" s="2"/>
      <x:c r="K107" s="1"/>
      <x:c r="L107" s="1"/>
    </x:row>
    <x:row r="108" ht="21" customHeight="1">
      <x:c r="A108" s="1"/>
      <x:c r="B108" s="1"/>
      <x:c r="C108" s="1"/>
      <x:c r="D108" s="2"/>
      <x:c r="E108" s="2"/>
      <x:c r="F108" s="2"/>
      <x:c r="G108" s="2"/>
      <x:c r="H108" s="2"/>
      <x:c r="I108" s="2"/>
      <x:c r="J108" s="2"/>
      <x:c r="K108" s="1"/>
      <x:c r="L108" s="1"/>
    </x:row>
    <x:row r="109" ht="21" customHeight="1">
      <x:c r="A109" s="1"/>
      <x:c r="B109" s="1"/>
      <x:c r="C109" s="1"/>
      <x:c r="D109" s="2"/>
      <x:c r="E109" s="2"/>
      <x:c r="F109" s="2"/>
      <x:c r="G109" s="2"/>
      <x:c r="H109" s="2"/>
      <x:c r="I109" s="2"/>
      <x:c r="J109" s="2"/>
      <x:c r="K109" s="1"/>
      <x:c r="L109" s="1"/>
    </x:row>
    <x:row r="110" ht="21" customHeight="1">
      <x:c r="A110" s="1"/>
      <x:c r="B110" s="1"/>
      <x:c r="C110" s="1"/>
      <x:c r="D110" s="2"/>
      <x:c r="E110" s="2"/>
      <x:c r="F110" s="2"/>
      <x:c r="G110" s="2"/>
      <x:c r="H110" s="2"/>
      <x:c r="I110" s="2"/>
      <x:c r="J110" s="2"/>
      <x:c r="K110" s="1"/>
      <x:c r="L110" s="1"/>
    </x:row>
    <x:row r="111" ht="21" customHeight="1">
      <x:c r="A111" s="1"/>
      <x:c r="B111" s="1"/>
      <x:c r="C111" s="1"/>
      <x:c r="D111" s="2"/>
      <x:c r="E111" s="2"/>
      <x:c r="F111" s="2"/>
      <x:c r="G111" s="2"/>
      <x:c r="H111" s="2"/>
      <x:c r="I111" s="2"/>
      <x:c r="J111" s="2"/>
      <x:c r="K111" s="1"/>
      <x:c r="L111" s="1"/>
    </x:row>
    <x:row r="112" ht="21" customHeight="1">
      <x:c r="A112" s="1"/>
      <x:c r="B112" s="1"/>
      <x:c r="C112" s="1"/>
      <x:c r="D112" s="2"/>
      <x:c r="E112" s="2"/>
      <x:c r="F112" s="2"/>
      <x:c r="G112" s="2"/>
      <x:c r="H112" s="2"/>
      <x:c r="I112" s="2"/>
      <x:c r="J112" s="2"/>
      <x:c r="K112" s="1"/>
      <x:c r="L112" s="1"/>
    </x:row>
    <x:row r="113" ht="21" customHeight="1">
      <x:c r="A113" s="1"/>
      <x:c r="B113" s="1"/>
      <x:c r="C113" s="1"/>
      <x:c r="D113" s="2"/>
      <x:c r="E113" s="2"/>
      <x:c r="F113" s="2"/>
      <x:c r="G113" s="2"/>
      <x:c r="H113" s="2"/>
      <x:c r="I113" s="2"/>
      <x:c r="J113" s="2"/>
      <x:c r="K113" s="1"/>
      <x:c r="L113" s="1"/>
    </x:row>
    <x:row r="114" ht="21" customHeight="1">
      <x:c r="A114" s="1"/>
      <x:c r="B114" s="1"/>
      <x:c r="C114" s="1"/>
      <x:c r="D114" s="2"/>
      <x:c r="E114" s="2"/>
      <x:c r="F114" s="2"/>
      <x:c r="G114" s="2"/>
      <x:c r="H114" s="2"/>
      <x:c r="I114" s="2"/>
      <x:c r="J114" s="2"/>
      <x:c r="K114" s="1"/>
      <x:c r="L114" s="1"/>
    </x:row>
    <x:row r="115" ht="21" customHeight="1">
      <x:c r="A115" s="1"/>
      <x:c r="B115" s="1"/>
      <x:c r="C115" s="1"/>
      <x:c r="D115" s="2"/>
      <x:c r="E115" s="2"/>
      <x:c r="F115" s="2"/>
      <x:c r="G115" s="2"/>
      <x:c r="H115" s="2"/>
      <x:c r="I115" s="2"/>
      <x:c r="J115" s="2"/>
      <x:c r="K115" s="1"/>
      <x:c r="L115" s="1"/>
    </x:row>
    <x:row r="116" ht="21" customHeight="1">
      <x:c r="A116" s="1"/>
      <x:c r="B116" s="1"/>
      <x:c r="C116" s="1"/>
      <x:c r="D116" s="2"/>
      <x:c r="E116" s="2"/>
      <x:c r="F116" s="2"/>
      <x:c r="G116" s="2"/>
      <x:c r="H116" s="2"/>
      <x:c r="I116" s="2"/>
      <x:c r="J116" s="2"/>
      <x:c r="K116" s="1"/>
      <x:c r="L116" s="1"/>
    </x:row>
    <x:row r="117" ht="21" customHeight="1">
      <x:c r="A117" s="1"/>
      <x:c r="B117" s="1"/>
      <x:c r="C117" s="1"/>
      <x:c r="D117" s="2"/>
      <x:c r="E117" s="2"/>
      <x:c r="F117" s="2"/>
      <x:c r="G117" s="2"/>
      <x:c r="H117" s="2"/>
      <x:c r="I117" s="2"/>
      <x:c r="J117" s="2"/>
      <x:c r="K117" s="1"/>
      <x:c r="L117" s="1"/>
    </x:row>
    <x:row r="118" ht="21" customHeight="1">
      <x:c r="A118" s="1"/>
      <x:c r="B118" s="1"/>
      <x:c r="C118" s="1"/>
      <x:c r="D118" s="2"/>
      <x:c r="E118" s="2"/>
      <x:c r="F118" s="2"/>
      <x:c r="G118" s="2"/>
      <x:c r="H118" s="2"/>
      <x:c r="I118" s="2"/>
      <x:c r="J118" s="2"/>
      <x:c r="K118" s="1"/>
      <x:c r="L118" s="1"/>
    </x:row>
    <x:row r="119" ht="21" customHeight="1">
      <x:c r="A119" s="1"/>
      <x:c r="B119" s="1"/>
      <x:c r="C119" s="1"/>
      <x:c r="D119" s="2"/>
      <x:c r="E119" s="2"/>
      <x:c r="F119" s="2"/>
      <x:c r="G119" s="2"/>
      <x:c r="H119" s="2"/>
      <x:c r="I119" s="2"/>
      <x:c r="J119" s="2"/>
      <x:c r="K119" s="1"/>
      <x:c r="L119" s="1"/>
    </x:row>
    <x:row r="120" ht="21" customHeight="1">
      <x:c r="A120" s="1"/>
      <x:c r="B120" s="1"/>
      <x:c r="C120" s="1"/>
      <x:c r="D120" s="2"/>
      <x:c r="E120" s="2"/>
      <x:c r="F120" s="2"/>
      <x:c r="G120" s="2"/>
      <x:c r="H120" s="2"/>
      <x:c r="I120" s="2"/>
      <x:c r="J120" s="2"/>
      <x:c r="K120" s="1"/>
      <x:c r="L120" s="1"/>
    </x:row>
    <x:row r="121" ht="21" customHeight="1">
      <x:c r="A121" s="1"/>
      <x:c r="B121" s="1"/>
      <x:c r="C121" s="1"/>
      <x:c r="D121" s="2"/>
      <x:c r="E121" s="2"/>
      <x:c r="F121" s="2"/>
      <x:c r="G121" s="2"/>
      <x:c r="H121" s="2"/>
      <x:c r="I121" s="2"/>
      <x:c r="J121" s="2"/>
      <x:c r="K121" s="1"/>
      <x:c r="L121" s="1"/>
    </x:row>
    <x:row r="122" ht="21" customHeight="1">
      <x:c r="A122" s="1"/>
      <x:c r="B122" s="1"/>
      <x:c r="C122" s="1"/>
      <x:c r="D122" s="2"/>
      <x:c r="E122" s="2"/>
      <x:c r="F122" s="2"/>
      <x:c r="G122" s="2"/>
      <x:c r="H122" s="2"/>
      <x:c r="I122" s="2"/>
      <x:c r="J122" s="2"/>
      <x:c r="K122" s="1"/>
      <x:c r="L122" s="1"/>
    </x:row>
    <x:row r="123" ht="21" customHeight="1">
      <x:c r="A123" s="1"/>
      <x:c r="B123" s="1"/>
      <x:c r="C123" s="1"/>
      <x:c r="D123" s="2"/>
      <x:c r="E123" s="2"/>
      <x:c r="F123" s="2"/>
      <x:c r="G123" s="2"/>
      <x:c r="H123" s="2"/>
      <x:c r="I123" s="2"/>
      <x:c r="J123" s="2"/>
      <x:c r="K123" s="1"/>
      <x:c r="L123" s="1"/>
    </x:row>
    <x:row r="124" ht="21" customHeight="1">
      <x:c r="A124" s="1"/>
      <x:c r="B124" s="1"/>
      <x:c r="C124" s="1"/>
      <x:c r="D124" s="2"/>
      <x:c r="E124" s="2"/>
      <x:c r="F124" s="2"/>
      <x:c r="G124" s="2"/>
      <x:c r="H124" s="2"/>
      <x:c r="I124" s="2"/>
      <x:c r="J124" s="2"/>
      <x:c r="K124" s="1"/>
      <x:c r="L124" s="1"/>
    </x:row>
    <x:row r="125" ht="21" customHeight="1">
      <x:c r="A125" s="1"/>
      <x:c r="B125" s="1"/>
      <x:c r="C125" s="1"/>
      <x:c r="D125" s="2"/>
      <x:c r="E125" s="2"/>
      <x:c r="F125" s="2"/>
      <x:c r="G125" s="2"/>
      <x:c r="H125" s="2"/>
      <x:c r="I125" s="2"/>
      <x:c r="J125" s="2"/>
      <x:c r="K125" s="1"/>
      <x:c r="L125" s="1"/>
    </x:row>
    <x:row r="126" ht="21" customHeight="1">
      <x:c r="A126" s="1"/>
      <x:c r="B126" s="1"/>
      <x:c r="C126" s="1"/>
      <x:c r="D126" s="2"/>
      <x:c r="E126" s="2"/>
      <x:c r="F126" s="2"/>
      <x:c r="G126" s="2"/>
      <x:c r="H126" s="2"/>
      <x:c r="I126" s="2"/>
      <x:c r="J126" s="2"/>
      <x:c r="K126" s="1"/>
      <x:c r="L126" s="1"/>
    </x:row>
    <x:row r="127" ht="21" customHeight="1">
      <x:c r="A127" s="1"/>
      <x:c r="B127" s="1"/>
      <x:c r="C127" s="1"/>
      <x:c r="D127" s="2"/>
      <x:c r="E127" s="2"/>
      <x:c r="F127" s="2"/>
      <x:c r="G127" s="2"/>
      <x:c r="H127" s="2"/>
      <x:c r="I127" s="2"/>
      <x:c r="J127" s="2"/>
      <x:c r="K127" s="1"/>
      <x:c r="L127" s="1"/>
    </x:row>
    <x:row r="128" ht="21" customHeight="1">
      <x:c r="A128" s="1"/>
      <x:c r="B128" s="1"/>
      <x:c r="C128" s="1"/>
      <x:c r="D128" s="2"/>
      <x:c r="E128" s="2"/>
      <x:c r="F128" s="2"/>
      <x:c r="G128" s="2"/>
      <x:c r="H128" s="2"/>
      <x:c r="I128" s="2"/>
      <x:c r="J128" s="2"/>
      <x:c r="K128" s="1"/>
      <x:c r="L128" s="1"/>
    </x:row>
    <x:row r="129" ht="21" customHeight="1">
      <x:c r="A129" s="1"/>
      <x:c r="B129" s="1"/>
      <x:c r="C129" s="1"/>
      <x:c r="D129" s="2"/>
      <x:c r="E129" s="2"/>
      <x:c r="F129" s="2"/>
      <x:c r="G129" s="2"/>
      <x:c r="H129" s="2"/>
      <x:c r="I129" s="2"/>
      <x:c r="J129" s="2"/>
      <x:c r="K129" s="1"/>
      <x:c r="L129" s="1"/>
    </x:row>
    <x:row r="130" ht="21" customHeight="1">
      <x:c r="A130" s="1"/>
      <x:c r="B130" s="1"/>
      <x:c r="C130" s="1"/>
      <x:c r="D130" s="2"/>
      <x:c r="E130" s="2"/>
      <x:c r="F130" s="2"/>
      <x:c r="G130" s="2"/>
      <x:c r="H130" s="2"/>
      <x:c r="I130" s="2"/>
      <x:c r="J130" s="2"/>
      <x:c r="K130" s="1"/>
      <x:c r="L130" s="1"/>
    </x:row>
    <x:row r="131" ht="21" customHeight="1">
      <x:c r="A131" s="1"/>
      <x:c r="B131" s="1"/>
      <x:c r="C131" s="1"/>
      <x:c r="D131" s="2"/>
      <x:c r="E131" s="2"/>
      <x:c r="F131" s="2"/>
      <x:c r="G131" s="2"/>
      <x:c r="H131" s="2"/>
      <x:c r="I131" s="2"/>
      <x:c r="J131" s="2"/>
      <x:c r="K131" s="1"/>
      <x:c r="L131" s="1"/>
    </x:row>
    <x:row r="132" ht="21" customHeight="1">
      <x:c r="A132" s="1"/>
      <x:c r="B132" s="1"/>
      <x:c r="C132" s="1"/>
      <x:c r="D132" s="2"/>
      <x:c r="E132" s="2"/>
      <x:c r="F132" s="2"/>
      <x:c r="G132" s="2"/>
      <x:c r="H132" s="2"/>
      <x:c r="I132" s="2"/>
      <x:c r="J132" s="2"/>
      <x:c r="K132" s="1"/>
      <x:c r="L132" s="1"/>
    </x:row>
    <x:row r="133" ht="21" customHeight="1">
      <x:c r="A133" s="1"/>
      <x:c r="B133" s="1"/>
      <x:c r="C133" s="1"/>
      <x:c r="D133" s="2"/>
      <x:c r="E133" s="2"/>
      <x:c r="F133" s="2"/>
      <x:c r="G133" s="2"/>
      <x:c r="H133" s="2"/>
      <x:c r="I133" s="2"/>
      <x:c r="J133" s="2"/>
      <x:c r="K133" s="1"/>
      <x:c r="L133" s="1"/>
    </x:row>
    <x:row r="134" ht="21" customHeight="1">
      <x:c r="A134" s="1"/>
      <x:c r="B134" s="1"/>
      <x:c r="C134" s="1"/>
      <x:c r="D134" s="2"/>
      <x:c r="E134" s="2"/>
      <x:c r="F134" s="2"/>
      <x:c r="G134" s="2"/>
      <x:c r="H134" s="2"/>
      <x:c r="I134" s="2"/>
      <x:c r="J134" s="2"/>
      <x:c r="K134" s="1"/>
      <x:c r="L134" s="1"/>
    </x:row>
    <x:row r="135" ht="21" customHeight="1">
      <x:c r="A135" s="1"/>
      <x:c r="B135" s="1"/>
      <x:c r="C135" s="1"/>
      <x:c r="D135" s="2"/>
      <x:c r="E135" s="2"/>
      <x:c r="F135" s="2"/>
      <x:c r="G135" s="2"/>
      <x:c r="H135" s="2"/>
      <x:c r="I135" s="2"/>
      <x:c r="J135" s="2"/>
      <x:c r="K135" s="1"/>
      <x:c r="L135" s="1"/>
    </x:row>
    <x:row r="136" ht="21" customHeight="1">
      <x:c r="A136" s="1"/>
      <x:c r="B136" s="1"/>
      <x:c r="C136" s="1"/>
      <x:c r="D136" s="2"/>
      <x:c r="E136" s="2"/>
      <x:c r="F136" s="2"/>
      <x:c r="G136" s="2"/>
      <x:c r="H136" s="2"/>
      <x:c r="I136" s="2"/>
      <x:c r="J136" s="2"/>
      <x:c r="K136" s="1"/>
      <x:c r="L136" s="1"/>
    </x:row>
    <x:row r="137" ht="21" customHeight="1">
      <x:c r="A137" s="1"/>
      <x:c r="B137" s="1"/>
      <x:c r="C137" s="1"/>
      <x:c r="D137" s="2"/>
      <x:c r="E137" s="2"/>
      <x:c r="F137" s="2"/>
      <x:c r="G137" s="2"/>
      <x:c r="H137" s="2"/>
      <x:c r="I137" s="2"/>
      <x:c r="J137" s="2"/>
      <x:c r="K137" s="1"/>
      <x:c r="L137" s="1"/>
    </x:row>
    <x:row r="138" ht="21" customHeight="1">
      <x:c r="A138" s="1"/>
      <x:c r="B138" s="1"/>
      <x:c r="C138" s="1"/>
      <x:c r="D138" s="2"/>
      <x:c r="E138" s="2"/>
      <x:c r="F138" s="2"/>
      <x:c r="G138" s="2"/>
      <x:c r="H138" s="2"/>
      <x:c r="I138" s="2"/>
      <x:c r="J138" s="2"/>
      <x:c r="K138" s="1"/>
      <x:c r="L138" s="1"/>
    </x:row>
    <x:row r="139" ht="21" customHeight="1">
      <x:c r="A139" s="1"/>
      <x:c r="B139" s="1"/>
      <x:c r="C139" s="1"/>
      <x:c r="D139" s="2"/>
      <x:c r="E139" s="2"/>
      <x:c r="F139" s="2"/>
      <x:c r="G139" s="2"/>
      <x:c r="H139" s="2"/>
      <x:c r="I139" s="2"/>
      <x:c r="J139" s="2"/>
      <x:c r="K139" s="1"/>
      <x:c r="L139" s="1"/>
    </x:row>
    <x:row r="140" ht="21" customHeight="1">
      <x:c r="A140" s="1"/>
      <x:c r="B140" s="1"/>
      <x:c r="C140" s="1"/>
      <x:c r="D140" s="2"/>
      <x:c r="E140" s="2"/>
      <x:c r="F140" s="2"/>
      <x:c r="G140" s="2"/>
      <x:c r="H140" s="2"/>
      <x:c r="I140" s="2"/>
      <x:c r="J140" s="2"/>
      <x:c r="K140" s="1"/>
      <x:c r="L140" s="1"/>
    </x:row>
    <x:row r="141" ht="21" customHeight="1">
      <x:c r="A141" s="1"/>
      <x:c r="B141" s="1"/>
      <x:c r="C141" s="1"/>
      <x:c r="D141" s="2"/>
      <x:c r="E141" s="2"/>
      <x:c r="F141" s="2"/>
      <x:c r="G141" s="2"/>
      <x:c r="H141" s="2"/>
      <x:c r="I141" s="2"/>
      <x:c r="J141" s="2"/>
      <x:c r="K141" s="1"/>
      <x:c r="L141" s="1"/>
    </x:row>
    <x:row r="142" ht="21" customHeight="1">
      <x:c r="A142" s="1"/>
      <x:c r="B142" s="1"/>
      <x:c r="C142" s="1"/>
      <x:c r="D142" s="2"/>
      <x:c r="E142" s="2"/>
      <x:c r="F142" s="2"/>
      <x:c r="G142" s="2"/>
      <x:c r="H142" s="2"/>
      <x:c r="I142" s="2"/>
      <x:c r="J142" s="2"/>
      <x:c r="K142" s="1"/>
      <x:c r="L142" s="1"/>
    </x:row>
    <x:row r="143" ht="21" customHeight="1">
      <x:c r="A143" s="1"/>
      <x:c r="B143" s="1"/>
      <x:c r="C143" s="1"/>
      <x:c r="D143" s="2"/>
      <x:c r="E143" s="2"/>
      <x:c r="F143" s="2"/>
      <x:c r="G143" s="2"/>
      <x:c r="H143" s="2"/>
      <x:c r="I143" s="2"/>
      <x:c r="J143" s="2"/>
      <x:c r="K143" s="1"/>
      <x:c r="L143" s="1"/>
    </x:row>
    <x:row r="144" ht="21" customHeight="1">
      <x:c r="A144" s="1"/>
      <x:c r="B144" s="1"/>
      <x:c r="C144" s="1"/>
      <x:c r="D144" s="2"/>
      <x:c r="E144" s="2"/>
      <x:c r="F144" s="2"/>
      <x:c r="G144" s="2"/>
      <x:c r="H144" s="2"/>
      <x:c r="I144" s="2"/>
      <x:c r="J144" s="2"/>
      <x:c r="K144" s="1"/>
      <x:c r="L144" s="1"/>
    </x:row>
    <x:row r="145" ht="21" customHeight="1">
      <x:c r="A145" s="1"/>
      <x:c r="B145" s="1"/>
      <x:c r="C145" s="1"/>
      <x:c r="D145" s="2"/>
      <x:c r="E145" s="2"/>
      <x:c r="F145" s="2"/>
      <x:c r="G145" s="2"/>
      <x:c r="H145" s="2"/>
      <x:c r="I145" s="2"/>
      <x:c r="J145" s="2"/>
      <x:c r="K145" s="1"/>
      <x:c r="L145" s="1"/>
    </x:row>
    <x:row r="146" ht="21" customHeight="1">
      <x:c r="A146" s="1"/>
      <x:c r="B146" s="1"/>
      <x:c r="C146" s="1"/>
      <x:c r="D146" s="2"/>
      <x:c r="E146" s="2"/>
      <x:c r="F146" s="2"/>
      <x:c r="G146" s="2"/>
      <x:c r="H146" s="2"/>
      <x:c r="I146" s="2"/>
      <x:c r="J146" s="2"/>
      <x:c r="K146" s="1"/>
      <x:c r="L146" s="1"/>
    </x:row>
    <x:row r="147" ht="21" customHeight="1">
      <x:c r="A147" s="1"/>
      <x:c r="B147" s="1"/>
      <x:c r="C147" s="1"/>
      <x:c r="D147" s="2"/>
      <x:c r="E147" s="2"/>
      <x:c r="F147" s="2"/>
      <x:c r="G147" s="2"/>
      <x:c r="H147" s="2"/>
      <x:c r="I147" s="2"/>
      <x:c r="J147" s="2"/>
      <x:c r="K147" s="1"/>
      <x:c r="L147" s="1"/>
    </x:row>
    <x:row r="148" ht="21" customHeight="1">
      <x:c r="A148" s="1"/>
      <x:c r="B148" s="1"/>
      <x:c r="C148" s="1"/>
      <x:c r="D148" s="2"/>
      <x:c r="E148" s="2"/>
      <x:c r="F148" s="2"/>
      <x:c r="G148" s="2"/>
      <x:c r="H148" s="2"/>
      <x:c r="I148" s="2"/>
      <x:c r="J148" s="2"/>
      <x:c r="K148" s="1"/>
      <x:c r="L148" s="1"/>
    </x:row>
    <x:row r="149" ht="21" customHeight="1">
      <x:c r="A149" s="1"/>
      <x:c r="B149" s="1"/>
      <x:c r="C149" s="1"/>
      <x:c r="D149" s="2"/>
      <x:c r="E149" s="2"/>
      <x:c r="F149" s="2"/>
      <x:c r="G149" s="2"/>
      <x:c r="H149" s="2"/>
      <x:c r="I149" s="2"/>
      <x:c r="J149" s="2"/>
      <x:c r="K149" s="1"/>
      <x:c r="L149" s="1"/>
    </x:row>
    <x:row r="150" ht="21" customHeight="1">
      <x:c r="A150" s="1"/>
      <x:c r="B150" s="1"/>
      <x:c r="C150" s="1"/>
      <x:c r="D150" s="2"/>
      <x:c r="E150" s="2"/>
      <x:c r="F150" s="2"/>
      <x:c r="G150" s="2"/>
      <x:c r="H150" s="2"/>
      <x:c r="I150" s="2"/>
      <x:c r="J150" s="2"/>
      <x:c r="K150" s="1"/>
      <x:c r="L150" s="1"/>
    </x:row>
    <x:row r="151" ht="21" customHeight="1">
      <x:c r="A151" s="1"/>
      <x:c r="B151" s="1"/>
      <x:c r="C151" s="1"/>
      <x:c r="D151" s="2"/>
      <x:c r="E151" s="2"/>
      <x:c r="F151" s="2"/>
      <x:c r="G151" s="2"/>
      <x:c r="H151" s="2"/>
      <x:c r="I151" s="2"/>
      <x:c r="J151" s="2"/>
      <x:c r="K151" s="1"/>
      <x:c r="L151" s="1"/>
    </x:row>
    <x:row r="152" ht="21" customHeight="1">
      <x:c r="A152" s="1"/>
      <x:c r="B152" s="1"/>
      <x:c r="C152" s="1"/>
      <x:c r="D152" s="2"/>
      <x:c r="E152" s="2"/>
      <x:c r="F152" s="2"/>
      <x:c r="G152" s="2"/>
      <x:c r="H152" s="2"/>
      <x:c r="I152" s="2"/>
      <x:c r="J152" s="2"/>
      <x:c r="K152" s="1"/>
      <x:c r="L152" s="1"/>
    </x:row>
    <x:row r="153" ht="21" customHeight="1">
      <x:c r="A153" s="1"/>
      <x:c r="B153" s="1"/>
      <x:c r="C153" s="1"/>
      <x:c r="D153" s="2"/>
      <x:c r="E153" s="2"/>
      <x:c r="F153" s="2"/>
      <x:c r="G153" s="2"/>
      <x:c r="H153" s="2"/>
      <x:c r="I153" s="2"/>
      <x:c r="J153" s="2"/>
      <x:c r="K153" s="1"/>
      <x:c r="L153" s="1"/>
    </x:row>
    <x:row r="154" ht="21" customHeight="1">
      <x:c r="A154" s="1"/>
      <x:c r="B154" s="1"/>
      <x:c r="C154" s="1"/>
      <x:c r="D154" s="2"/>
      <x:c r="E154" s="2"/>
      <x:c r="F154" s="2"/>
      <x:c r="G154" s="2"/>
      <x:c r="H154" s="2"/>
      <x:c r="I154" s="2"/>
      <x:c r="J154" s="2"/>
      <x:c r="K154" s="1"/>
      <x:c r="L154" s="1"/>
    </x:row>
    <x:row r="155" ht="21" customHeight="1">
      <x:c r="A155" s="1"/>
      <x:c r="B155" s="1"/>
      <x:c r="C155" s="1"/>
      <x:c r="D155" s="2"/>
      <x:c r="E155" s="2"/>
      <x:c r="F155" s="2"/>
      <x:c r="G155" s="2"/>
      <x:c r="H155" s="2"/>
      <x:c r="I155" s="2"/>
      <x:c r="J155" s="2"/>
      <x:c r="K155" s="1"/>
      <x:c r="L155" s="1"/>
    </x:row>
    <x:row r="156" ht="21" customHeight="1">
      <x:c r="A156" s="1"/>
      <x:c r="B156" s="1"/>
      <x:c r="C156" s="1"/>
      <x:c r="D156" s="2"/>
      <x:c r="E156" s="2"/>
      <x:c r="F156" s="2"/>
      <x:c r="G156" s="2"/>
      <x:c r="H156" s="2"/>
      <x:c r="I156" s="2"/>
      <x:c r="J156" s="2"/>
      <x:c r="K156" s="1"/>
      <x:c r="L156" s="1"/>
    </x:row>
    <x:row r="157" ht="21" customHeight="1">
      <x:c r="A157" s="1"/>
      <x:c r="B157" s="1"/>
      <x:c r="C157" s="1"/>
      <x:c r="D157" s="2"/>
      <x:c r="E157" s="2"/>
      <x:c r="F157" s="2"/>
      <x:c r="G157" s="2"/>
      <x:c r="H157" s="2"/>
      <x:c r="I157" s="2"/>
      <x:c r="J157" s="2"/>
      <x:c r="K157" s="1"/>
      <x:c r="L157" s="1"/>
    </x:row>
    <x:row r="158" ht="21" customHeight="1">
      <x:c r="A158" s="1"/>
      <x:c r="B158" s="1"/>
      <x:c r="C158" s="1"/>
      <x:c r="D158" s="2"/>
      <x:c r="E158" s="2"/>
      <x:c r="F158" s="2"/>
      <x:c r="G158" s="2"/>
      <x:c r="H158" s="2"/>
      <x:c r="I158" s="2"/>
      <x:c r="J158" s="2"/>
      <x:c r="K158" s="1"/>
      <x:c r="L158" s="1"/>
    </x:row>
    <x:row r="159" ht="21" customHeight="1">
      <x:c r="A159" s="1"/>
      <x:c r="B159" s="1"/>
      <x:c r="C159" s="1"/>
      <x:c r="D159" s="2"/>
      <x:c r="E159" s="2"/>
      <x:c r="F159" s="2"/>
      <x:c r="G159" s="2"/>
      <x:c r="H159" s="2"/>
      <x:c r="I159" s="2"/>
      <x:c r="J159" s="2"/>
      <x:c r="K159" s="1"/>
      <x:c r="L159" s="1"/>
    </x:row>
    <x:row r="160" ht="21" customHeight="1">
      <x:c r="A160" s="1"/>
      <x:c r="B160" s="1"/>
      <x:c r="C160" s="1"/>
      <x:c r="D160" s="2"/>
      <x:c r="E160" s="2"/>
      <x:c r="F160" s="2"/>
      <x:c r="G160" s="2"/>
      <x:c r="H160" s="2"/>
      <x:c r="I160" s="2"/>
      <x:c r="J160" s="2"/>
      <x:c r="K160" s="1"/>
      <x:c r="L160" s="1"/>
    </x:row>
    <x:row r="161" ht="21" customHeight="1">
      <x:c r="A161" s="1"/>
      <x:c r="B161" s="1"/>
      <x:c r="C161" s="1"/>
      <x:c r="D161" s="2"/>
      <x:c r="E161" s="2"/>
      <x:c r="F161" s="2"/>
      <x:c r="G161" s="2"/>
      <x:c r="H161" s="2"/>
      <x:c r="I161" s="2"/>
      <x:c r="J161" s="2"/>
      <x:c r="K161" s="1"/>
      <x:c r="L161" s="1"/>
    </x:row>
    <x:row r="162" ht="21" customHeight="1">
      <x:c r="A162" s="1"/>
      <x:c r="B162" s="1"/>
      <x:c r="C162" s="1"/>
      <x:c r="D162" s="2"/>
      <x:c r="E162" s="2"/>
      <x:c r="F162" s="2"/>
      <x:c r="G162" s="2"/>
      <x:c r="H162" s="2"/>
      <x:c r="I162" s="2"/>
      <x:c r="J162" s="2"/>
      <x:c r="K162" s="1"/>
      <x:c r="L162" s="1"/>
    </x:row>
    <x:row r="163" ht="21" customHeight="1">
      <x:c r="A163" s="1"/>
      <x:c r="B163" s="1"/>
      <x:c r="C163" s="1"/>
      <x:c r="D163" s="2"/>
      <x:c r="E163" s="2"/>
      <x:c r="F163" s="2"/>
      <x:c r="G163" s="2"/>
      <x:c r="H163" s="2"/>
      <x:c r="I163" s="2"/>
      <x:c r="J163" s="2"/>
      <x:c r="K163" s="1"/>
      <x:c r="L163" s="1"/>
    </x:row>
    <x:row r="164" ht="21" customHeight="1">
      <x:c r="A164" s="1"/>
      <x:c r="B164" s="1"/>
      <x:c r="C164" s="1"/>
      <x:c r="D164" s="2"/>
      <x:c r="E164" s="2"/>
      <x:c r="F164" s="2"/>
      <x:c r="G164" s="2"/>
      <x:c r="H164" s="2"/>
      <x:c r="I164" s="2"/>
      <x:c r="J164" s="2"/>
      <x:c r="K164" s="1"/>
      <x:c r="L164" s="1"/>
    </x:row>
    <x:row r="165" ht="21" customHeight="1">
      <x:c r="A165" s="1"/>
      <x:c r="B165" s="1"/>
      <x:c r="C165" s="1"/>
      <x:c r="D165" s="2"/>
      <x:c r="E165" s="2"/>
      <x:c r="F165" s="2"/>
      <x:c r="G165" s="2"/>
      <x:c r="H165" s="2"/>
      <x:c r="I165" s="2"/>
      <x:c r="J165" s="2"/>
      <x:c r="K165" s="1"/>
      <x:c r="L165" s="1"/>
    </x:row>
    <x:row r="166" ht="21" customHeight="1">
      <x:c r="A166" s="1"/>
      <x:c r="B166" s="1"/>
      <x:c r="C166" s="1"/>
      <x:c r="D166" s="2"/>
      <x:c r="E166" s="2"/>
      <x:c r="F166" s="2"/>
      <x:c r="G166" s="2"/>
      <x:c r="H166" s="2"/>
      <x:c r="I166" s="2"/>
      <x:c r="J166" s="2"/>
      <x:c r="K166" s="1"/>
      <x:c r="L166" s="1"/>
    </x:row>
    <x:row r="167" ht="21" customHeight="1">
      <x:c r="A167" s="1"/>
      <x:c r="B167" s="1"/>
      <x:c r="C167" s="1"/>
      <x:c r="D167" s="2"/>
      <x:c r="E167" s="2"/>
      <x:c r="F167" s="2"/>
      <x:c r="G167" s="2"/>
      <x:c r="H167" s="2"/>
      <x:c r="I167" s="2"/>
      <x:c r="J167" s="2"/>
      <x:c r="K167" s="1"/>
      <x:c r="L167" s="1"/>
    </x:row>
    <x:row r="168" ht="21" customHeight="1">
      <x:c r="A168" s="1"/>
      <x:c r="B168" s="1"/>
      <x:c r="C168" s="1"/>
      <x:c r="D168" s="2"/>
      <x:c r="E168" s="2"/>
      <x:c r="F168" s="2"/>
      <x:c r="G168" s="2"/>
      <x:c r="H168" s="2"/>
      <x:c r="I168" s="2"/>
      <x:c r="J168" s="2"/>
      <x:c r="K168" s="1"/>
      <x:c r="L168" s="1"/>
    </x:row>
    <x:row r="169" ht="21" customHeight="1">
      <x:c r="A169" s="1"/>
      <x:c r="B169" s="1"/>
      <x:c r="C169" s="1"/>
      <x:c r="D169" s="2"/>
      <x:c r="E169" s="2"/>
      <x:c r="F169" s="2"/>
      <x:c r="G169" s="2"/>
      <x:c r="H169" s="2"/>
      <x:c r="I169" s="2"/>
      <x:c r="J169" s="2"/>
      <x:c r="K169" s="1"/>
      <x:c r="L169" s="1"/>
    </x:row>
    <x:row r="170" ht="21" customHeight="1">
      <x:c r="A170" s="1"/>
      <x:c r="B170" s="1"/>
      <x:c r="C170" s="1"/>
      <x:c r="D170" s="2"/>
      <x:c r="E170" s="2"/>
      <x:c r="F170" s="2"/>
      <x:c r="G170" s="2"/>
      <x:c r="H170" s="2"/>
      <x:c r="I170" s="2"/>
      <x:c r="J170" s="2"/>
      <x:c r="K170" s="1"/>
      <x:c r="L170" s="1"/>
    </x:row>
    <x:row r="171" ht="21" customHeight="1">
      <x:c r="A171" s="1"/>
      <x:c r="B171" s="1"/>
      <x:c r="C171" s="1"/>
      <x:c r="D171" s="2"/>
      <x:c r="E171" s="2"/>
      <x:c r="F171" s="2"/>
      <x:c r="G171" s="2"/>
      <x:c r="H171" s="2"/>
      <x:c r="I171" s="2"/>
      <x:c r="J171" s="2"/>
      <x:c r="K171" s="1"/>
      <x:c r="L171" s="1"/>
    </x:row>
    <x:row r="172" ht="21" customHeight="1">
      <x:c r="A172" s="1"/>
      <x:c r="B172" s="1"/>
      <x:c r="C172" s="1"/>
      <x:c r="D172" s="2"/>
      <x:c r="E172" s="2"/>
      <x:c r="F172" s="2"/>
      <x:c r="G172" s="2"/>
      <x:c r="H172" s="2"/>
      <x:c r="I172" s="2"/>
      <x:c r="J172" s="2"/>
      <x:c r="K172" s="1"/>
      <x:c r="L172" s="1"/>
    </x:row>
    <x:row r="173" ht="21" customHeight="1">
      <x:c r="A173" s="1"/>
      <x:c r="B173" s="1"/>
      <x:c r="C173" s="1"/>
      <x:c r="D173" s="2"/>
      <x:c r="E173" s="2"/>
      <x:c r="F173" s="2"/>
      <x:c r="G173" s="2"/>
      <x:c r="H173" s="2"/>
      <x:c r="I173" s="2"/>
      <x:c r="J173" s="2"/>
      <x:c r="K173" s="1"/>
      <x:c r="L173" s="1"/>
    </x:row>
    <x:row r="174" ht="21" customHeight="1">
      <x:c r="A174" s="1"/>
      <x:c r="B174" s="1"/>
      <x:c r="C174" s="1"/>
      <x:c r="D174" s="2"/>
      <x:c r="E174" s="2"/>
      <x:c r="F174" s="2"/>
      <x:c r="G174" s="2"/>
      <x:c r="H174" s="2"/>
      <x:c r="I174" s="2"/>
      <x:c r="J174" s="2"/>
      <x:c r="K174" s="1"/>
      <x:c r="L174" s="1"/>
    </x:row>
    <x:row r="175" ht="21" customHeight="1">
      <x:c r="A175" s="1"/>
      <x:c r="B175" s="1"/>
      <x:c r="C175" s="1"/>
      <x:c r="D175" s="2"/>
      <x:c r="E175" s="2"/>
      <x:c r="F175" s="2"/>
      <x:c r="G175" s="2"/>
      <x:c r="H175" s="2"/>
      <x:c r="I175" s="2"/>
      <x:c r="J175" s="2"/>
      <x:c r="K175" s="1"/>
      <x:c r="L175" s="1"/>
    </x:row>
    <x:row r="176" ht="21" customHeight="1">
      <x:c r="A176" s="1"/>
      <x:c r="B176" s="1"/>
      <x:c r="C176" s="1"/>
      <x:c r="D176" s="2"/>
      <x:c r="E176" s="2"/>
      <x:c r="F176" s="2"/>
      <x:c r="G176" s="2"/>
      <x:c r="H176" s="2"/>
      <x:c r="I176" s="2"/>
      <x:c r="J176" s="2"/>
      <x:c r="K176" s="1"/>
      <x:c r="L176" s="1"/>
    </x:row>
    <x:row r="177" ht="21" customHeight="1">
      <x:c r="A177" s="1"/>
      <x:c r="B177" s="1"/>
      <x:c r="C177" s="1"/>
      <x:c r="D177" s="2"/>
      <x:c r="E177" s="2"/>
      <x:c r="F177" s="2"/>
      <x:c r="G177" s="2"/>
      <x:c r="H177" s="2"/>
      <x:c r="I177" s="2"/>
      <x:c r="J177" s="2"/>
      <x:c r="K177" s="1"/>
      <x:c r="L177" s="1"/>
    </x:row>
    <x:row r="178" ht="21" customHeight="1">
      <x:c r="A178" s="1"/>
      <x:c r="B178" s="1"/>
      <x:c r="C178" s="1"/>
      <x:c r="D178" s="2"/>
      <x:c r="E178" s="2"/>
      <x:c r="F178" s="2"/>
      <x:c r="G178" s="2"/>
      <x:c r="H178" s="2"/>
      <x:c r="I178" s="2"/>
      <x:c r="J178" s="2"/>
      <x:c r="K178" s="1"/>
      <x:c r="L178" s="1"/>
    </x:row>
    <x:row r="179" ht="21" customHeight="1">
      <x:c r="A179" s="1"/>
      <x:c r="B179" s="1"/>
      <x:c r="C179" s="1"/>
      <x:c r="D179" s="2"/>
      <x:c r="E179" s="2"/>
      <x:c r="F179" s="2"/>
      <x:c r="G179" s="2"/>
      <x:c r="H179" s="2"/>
      <x:c r="I179" s="2"/>
      <x:c r="J179" s="2"/>
      <x:c r="K179" s="1"/>
      <x:c r="L179" s="1"/>
    </x:row>
    <x:row r="180" ht="21" customHeight="1">
      <x:c r="A180" s="1"/>
      <x:c r="B180" s="1"/>
      <x:c r="C180" s="1"/>
      <x:c r="D180" s="2"/>
      <x:c r="E180" s="2"/>
      <x:c r="F180" s="2"/>
      <x:c r="G180" s="2"/>
      <x:c r="H180" s="2"/>
      <x:c r="I180" s="2"/>
      <x:c r="J180" s="2"/>
      <x:c r="K180" s="1"/>
      <x:c r="L180" s="1"/>
    </x:row>
    <x:row r="181" ht="21" customHeight="1">
      <x:c r="A181" s="1"/>
      <x:c r="B181" s="1"/>
      <x:c r="C181" s="1"/>
      <x:c r="D181" s="2"/>
      <x:c r="E181" s="2"/>
      <x:c r="F181" s="2"/>
      <x:c r="G181" s="2"/>
      <x:c r="H181" s="2"/>
      <x:c r="I181" s="2"/>
      <x:c r="J181" s="2"/>
      <x:c r="K181" s="1"/>
      <x:c r="L181" s="1"/>
    </x:row>
    <x:row r="182" ht="21" customHeight="1">
      <x:c r="A182" s="1"/>
      <x:c r="B182" s="1"/>
      <x:c r="C182" s="1"/>
      <x:c r="D182" s="2"/>
      <x:c r="E182" s="2"/>
      <x:c r="F182" s="2"/>
      <x:c r="G182" s="2"/>
      <x:c r="H182" s="2"/>
      <x:c r="I182" s="2"/>
      <x:c r="J182" s="2"/>
      <x:c r="K182" s="1"/>
      <x:c r="L182" s="1"/>
    </x:row>
    <x:row r="183" ht="21" customHeight="1">
      <x:c r="A183" s="1"/>
      <x:c r="B183" s="1"/>
      <x:c r="C183" s="1"/>
      <x:c r="D183" s="2"/>
      <x:c r="E183" s="2"/>
      <x:c r="F183" s="2"/>
      <x:c r="G183" s="2"/>
      <x:c r="H183" s="2"/>
      <x:c r="I183" s="2"/>
      <x:c r="J183" s="2"/>
      <x:c r="K183" s="1"/>
      <x:c r="L183" s="1"/>
    </x:row>
    <x:row r="184" ht="21" customHeight="1">
      <x:c r="A184" s="1"/>
      <x:c r="B184" s="1"/>
      <x:c r="C184" s="1"/>
      <x:c r="D184" s="2"/>
      <x:c r="E184" s="2"/>
      <x:c r="F184" s="2"/>
      <x:c r="G184" s="2"/>
      <x:c r="H184" s="2"/>
      <x:c r="I184" s="2"/>
      <x:c r="J184" s="2"/>
      <x:c r="K184" s="1"/>
      <x:c r="L184" s="1"/>
    </x:row>
    <x:row r="185" ht="21" customHeight="1">
      <x:c r="A185" s="1"/>
      <x:c r="B185" s="1"/>
      <x:c r="C185" s="1"/>
      <x:c r="D185" s="2"/>
      <x:c r="E185" s="2"/>
      <x:c r="F185" s="2"/>
      <x:c r="G185" s="2"/>
      <x:c r="H185" s="2"/>
      <x:c r="I185" s="2"/>
      <x:c r="J185" s="2"/>
      <x:c r="K185" s="1"/>
      <x:c r="L185" s="1"/>
    </x:row>
    <x:row r="186" ht="21" customHeight="1">
      <x:c r="A186" s="1"/>
      <x:c r="B186" s="1"/>
      <x:c r="C186" s="1"/>
      <x:c r="D186" s="2"/>
      <x:c r="E186" s="2"/>
      <x:c r="F186" s="2"/>
      <x:c r="G186" s="2"/>
      <x:c r="H186" s="2"/>
      <x:c r="I186" s="2"/>
      <x:c r="J186" s="2"/>
      <x:c r="K186" s="1"/>
      <x:c r="L186" s="1"/>
    </x:row>
    <x:row r="187" ht="21" customHeight="1">
      <x:c r="A187" s="1"/>
      <x:c r="B187" s="1"/>
      <x:c r="C187" s="1"/>
      <x:c r="D187" s="2"/>
      <x:c r="E187" s="2"/>
      <x:c r="F187" s="2"/>
      <x:c r="G187" s="2"/>
      <x:c r="H187" s="2"/>
      <x:c r="I187" s="2"/>
      <x:c r="J187" s="2"/>
      <x:c r="K187" s="1"/>
      <x:c r="L187" s="1"/>
    </x:row>
    <x:row r="188" ht="21" customHeight="1">
      <x:c r="A188" s="1"/>
      <x:c r="B188" s="1"/>
      <x:c r="C188" s="1"/>
      <x:c r="D188" s="2"/>
      <x:c r="E188" s="2"/>
      <x:c r="F188" s="2"/>
      <x:c r="G188" s="2"/>
      <x:c r="H188" s="2"/>
      <x:c r="I188" s="2"/>
      <x:c r="J188" s="2"/>
      <x:c r="K188" s="1"/>
      <x:c r="L188" s="1"/>
    </x:row>
    <x:row r="189" ht="21" customHeight="1">
      <x:c r="A189" s="1"/>
      <x:c r="B189" s="1"/>
      <x:c r="C189" s="1"/>
      <x:c r="D189" s="2"/>
      <x:c r="E189" s="2"/>
      <x:c r="F189" s="2"/>
      <x:c r="G189" s="2"/>
      <x:c r="H189" s="2"/>
      <x:c r="I189" s="2"/>
      <x:c r="J189" s="2"/>
      <x:c r="K189" s="1"/>
      <x:c r="L189" s="1"/>
    </x:row>
    <x:row r="190" ht="21" customHeight="1">
      <x:c r="A190" s="1"/>
      <x:c r="B190" s="1"/>
      <x:c r="C190" s="1"/>
      <x:c r="D190" s="2"/>
      <x:c r="E190" s="2"/>
      <x:c r="F190" s="2"/>
      <x:c r="G190" s="2"/>
      <x:c r="H190" s="2"/>
      <x:c r="I190" s="2"/>
      <x:c r="J190" s="2"/>
      <x:c r="K190" s="1"/>
      <x:c r="L190" s="1"/>
    </x:row>
    <x:row r="191" ht="21" customHeight="1">
      <x:c r="A191" s="1"/>
      <x:c r="B191" s="1"/>
      <x:c r="C191" s="1"/>
      <x:c r="D191" s="2"/>
      <x:c r="E191" s="2"/>
      <x:c r="F191" s="2"/>
      <x:c r="G191" s="2"/>
      <x:c r="H191" s="2"/>
      <x:c r="I191" s="2"/>
      <x:c r="J191" s="2"/>
      <x:c r="K191" s="1"/>
      <x:c r="L191" s="1"/>
    </x:row>
    <x:row r="192" ht="21" customHeight="1">
      <x:c r="A192" s="1"/>
      <x:c r="B192" s="1"/>
      <x:c r="C192" s="1"/>
      <x:c r="D192" s="2"/>
      <x:c r="E192" s="2"/>
      <x:c r="F192" s="2"/>
      <x:c r="G192" s="2"/>
      <x:c r="H192" s="2"/>
      <x:c r="I192" s="2"/>
      <x:c r="J192" s="2"/>
      <x:c r="K192" s="1"/>
      <x:c r="L192" s="1"/>
    </x:row>
    <x:row r="193" ht="21" customHeight="1">
      <x:c r="A193" s="1"/>
      <x:c r="B193" s="1"/>
      <x:c r="C193" s="1"/>
      <x:c r="D193" s="2"/>
      <x:c r="E193" s="2"/>
      <x:c r="F193" s="2"/>
      <x:c r="G193" s="2"/>
      <x:c r="H193" s="2"/>
      <x:c r="I193" s="2"/>
      <x:c r="J193" s="2"/>
      <x:c r="K193" s="1"/>
      <x:c r="L193" s="1"/>
    </x:row>
    <x:row r="194" ht="21" customHeight="1">
      <x:c r="A194" s="1"/>
      <x:c r="B194" s="1"/>
      <x:c r="C194" s="1"/>
      <x:c r="D194" s="2"/>
      <x:c r="E194" s="2"/>
      <x:c r="F194" s="2"/>
      <x:c r="G194" s="2"/>
      <x:c r="H194" s="2"/>
      <x:c r="I194" s="2"/>
      <x:c r="J194" s="2"/>
      <x:c r="K194" s="1"/>
      <x:c r="L194" s="1"/>
    </x:row>
    <x:row r="195" ht="21" customHeight="1">
      <x:c r="A195" s="1"/>
      <x:c r="B195" s="1"/>
      <x:c r="C195" s="1"/>
      <x:c r="D195" s="2"/>
      <x:c r="E195" s="2"/>
      <x:c r="F195" s="2"/>
      <x:c r="G195" s="2"/>
      <x:c r="H195" s="2"/>
      <x:c r="I195" s="2"/>
      <x:c r="J195" s="2"/>
      <x:c r="K195" s="1"/>
      <x:c r="L195" s="1"/>
    </x:row>
    <x:row r="196" ht="21" customHeight="1">
      <x:c r="A196" s="1"/>
      <x:c r="B196" s="1"/>
      <x:c r="C196" s="1"/>
      <x:c r="D196" s="2"/>
      <x:c r="E196" s="2"/>
      <x:c r="F196" s="2"/>
      <x:c r="G196" s="2"/>
      <x:c r="H196" s="2"/>
      <x:c r="I196" s="2"/>
      <x:c r="J196" s="2"/>
      <x:c r="K196" s="1"/>
      <x:c r="L196" s="1"/>
    </x:row>
    <x:row r="197" ht="21" customHeight="1">
      <x:c r="A197" s="1"/>
      <x:c r="B197" s="1"/>
      <x:c r="C197" s="1"/>
      <x:c r="D197" s="2"/>
      <x:c r="E197" s="2"/>
      <x:c r="F197" s="2"/>
      <x:c r="G197" s="2"/>
      <x:c r="H197" s="2"/>
      <x:c r="I197" s="2"/>
      <x:c r="J197" s="2"/>
      <x:c r="K197" s="1"/>
      <x:c r="L197" s="1"/>
    </x:row>
    <x:row r="198" ht="21" customHeight="1">
      <x:c r="A198" s="1"/>
      <x:c r="B198" s="1"/>
      <x:c r="C198" s="1"/>
      <x:c r="D198" s="2"/>
      <x:c r="E198" s="2"/>
      <x:c r="F198" s="2"/>
      <x:c r="G198" s="2"/>
      <x:c r="H198" s="2"/>
      <x:c r="I198" s="2"/>
      <x:c r="J198" s="2"/>
      <x:c r="K198" s="1"/>
      <x:c r="L198" s="1"/>
    </x:row>
    <x:row r="199" ht="21" customHeight="1">
      <x:c r="A199" s="1"/>
      <x:c r="B199" s="1"/>
      <x:c r="C199" s="1"/>
      <x:c r="D199" s="2"/>
      <x:c r="E199" s="2"/>
      <x:c r="F199" s="2"/>
      <x:c r="G199" s="2"/>
      <x:c r="H199" s="2"/>
      <x:c r="I199" s="2"/>
      <x:c r="J199" s="2"/>
      <x:c r="K199" s="1"/>
      <x:c r="L199" s="1"/>
    </x:row>
    <x:row r="200" ht="21" customHeight="1">
      <x:c r="A200" s="1"/>
      <x:c r="B200" s="1"/>
      <x:c r="C200" s="1"/>
      <x:c r="D200" s="2"/>
      <x:c r="E200" s="2"/>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 ref="C47:J47"/>
  </x:mergeCells>
  <x:conditionalFormatting sqref="E50:I54">
    <x:cfRule type="colorScale" priority="1">
      <x:colorScale>
        <x:cfvo type="min"/>
        <x:cfvo type="percentile" val="50"/>
        <x:cfvo type="max"/>
        <x:color rgb="FFF3D5CA"/>
        <x:color rgb="FFFFFFFF"/>
        <x:color rgb="FF72C2AA"/>
      </x:colorScale>
    </x:cfRule>
  </x:conditionalFormatting>
  <x:pageMargins left="0.7" right="0.7" top="0.75" bottom="0.75" header="0.3" footer="0.3"/>
</x:worksheet>
</file>

<file path=xl/worksheets/sheet4.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1" customHeight="1">
      <x:c r="A1" s="1"/>
      <x:c r="B1" s="1"/>
      <x:c r="C1" s="4" t="str">
        <x:v>VISTA / History</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t="str">
        <x:v>Selected scenario</x:v>
      </x:c>
      <x:c r="D3" s="6" t="str">
        <x:f>Controls!D4</x:f>
        <x:v>Base</x:v>
      </x:c>
      <x:c r="E3" s="1"/>
      <x:c r="F3" s="1"/>
      <x:c r="G3" s="1"/>
      <x:c r="H3" s="1"/>
      <x:c r="I3" s="1"/>
      <x:c r="J3" s="1"/>
      <x:c r="K3" s="1"/>
      <x:c r="L3" s="1"/>
    </x:row>
    <x:row r="4" ht="21" customHeight="1">
      <x:c r="A4" s="1"/>
      <x:c r="B4" s="1"/>
      <x:c r="C4" s="1"/>
      <x:c r="D4" s="2"/>
      <x:c r="E4" s="2"/>
      <x:c r="F4" s="2"/>
      <x:c r="G4" s="2"/>
      <x:c r="H4" s="2"/>
      <x:c r="I4" s="2"/>
      <x:c r="J4" s="2"/>
      <x:c r="K4" s="1"/>
      <x:c r="L4" s="1"/>
    </x:row>
    <x:row r="5" ht="30" customHeight="1">
      <x:c r="A5" s="1"/>
      <x:c r="B5" s="1"/>
      <x:c r="C5" s="33"/>
      <x:c r="D5" s="34" t="str">
        <x:v>FY2024R</x:v>
      </x:c>
      <x:c r="E5" s="34" t="str">
        <x:v>FY2025</x:v>
      </x:c>
      <x:c r="F5" s="34" t="str">
        <x:v>Q1YTD2026</x:v>
      </x:c>
      <x:c r="G5" s="34" t="str">
        <x:v>Q2YTD2026</x:v>
      </x:c>
      <x:c r="H5" s="34" t="str">
        <x:v>Q3YTD2026</x:v>
      </x:c>
      <x:c r="I5" s="34" t="str">
        <x:v>Q3YTD2025</x:v>
      </x:c>
      <x:c r="J5" s="34"/>
      <x:c r="K5" s="1"/>
      <x:c r="L5" s="1"/>
    </x:row>
    <x:row r="6" ht="21" customHeight="1">
      <x:c r="A6" s="1"/>
      <x:c r="B6" s="1"/>
      <x:c r="C6" s="1" t="str">
        <x:v>revenue</x:v>
      </x:c>
      <x:c r="D6" s="20" t="n">
        <x:f>Sources!F6</x:f>
        <x:v>6031.956702</x:v>
      </x:c>
      <x:c r="E6" s="20" t="n">
        <x:f>Sources!F19</x:f>
        <x:v>6392.755815</x:v>
      </x:c>
      <x:c r="F6" s="20" t="n">
        <x:f>Sources!F79</x:f>
        <x:v>1549.301627</x:v>
      </x:c>
      <x:c r="G6" s="20" t="n">
        <x:f>Sources!F92</x:f>
        <x:v>3206.116454</x:v>
      </x:c>
      <x:c r="H6" s="20" t="n">
        <x:f>Sources!F105</x:f>
        <x:v>5102.014681</x:v>
      </x:c>
      <x:c r="I6" s="20" t="n">
        <x:f>Sources!F118</x:f>
        <x:v>4650.366326</x:v>
      </x:c>
      <x:c r="J6" s="2"/>
      <x:c r="K6" s="1"/>
      <x:c r="L6" s="1"/>
    </x:row>
    <x:row r="7" ht="21" customHeight="1">
      <x:c r="A7" s="1"/>
      <x:c r="B7" s="1"/>
      <x:c r="C7" s="1" t="str">
        <x:v>cogs</x:v>
      </x:c>
      <x:c r="D7" s="20" t="n">
        <x:f>Sources!F7</x:f>
        <x:v>5592.491287</x:v>
      </x:c>
      <x:c r="E7" s="20" t="n">
        <x:f>Sources!F20</x:f>
        <x:v>5430.580843</x:v>
      </x:c>
      <x:c r="F7" s="20" t="n">
        <x:f>Sources!F80</x:f>
        <x:v>1280.540289</x:v>
      </x:c>
      <x:c r="G7" s="20" t="n">
        <x:f>Sources!F93</x:f>
        <x:v>2593.956166</x:v>
      </x:c>
      <x:c r="H7" s="20" t="n">
        <x:f>Sources!F106</x:f>
        <x:v>4067.226463</x:v>
      </x:c>
      <x:c r="I7" s="20" t="n">
        <x:f>Sources!F119</x:f>
        <x:v>3977.214157</x:v>
      </x:c>
      <x:c r="J7" s="2"/>
      <x:c r="K7" s="1"/>
      <x:c r="L7" s="1"/>
    </x:row>
    <x:row r="8" ht="21" customHeight="1">
      <x:c r="A8" s="1"/>
      <x:c r="B8" s="1"/>
      <x:c r="C8" s="1" t="str">
        <x:v>gross_profit</x:v>
      </x:c>
      <x:c r="D8" s="20" t="n">
        <x:f>Sources!F8</x:f>
        <x:v>439.465415</x:v>
      </x:c>
      <x:c r="E8" s="20" t="n">
        <x:f>Sources!F21</x:f>
        <x:v>962.174972</x:v>
      </x:c>
      <x:c r="F8" s="20" t="n">
        <x:f>Sources!F81</x:f>
        <x:v>268.761338</x:v>
      </x:c>
      <x:c r="G8" s="20" t="n">
        <x:f>Sources!F94</x:f>
        <x:v>612.160288</x:v>
      </x:c>
      <x:c r="H8" s="20" t="n">
        <x:f>Sources!F107</x:f>
        <x:v>1034.788218</x:v>
      </x:c>
      <x:c r="I8" s="20" t="n">
        <x:f>Sources!F120</x:f>
        <x:v>673.152169</x:v>
      </x:c>
      <x:c r="J8" s="2"/>
      <x:c r="K8" s="1"/>
      <x:c r="L8" s="1"/>
    </x:row>
    <x:row r="9" ht="21" customHeight="1">
      <x:c r="A9" s="1"/>
      <x:c r="B9" s="1"/>
      <x:c r="C9" s="1" t="str">
        <x:v>sga</x:v>
      </x:c>
      <x:c r="D9" s="20" t="n">
        <x:f>Sources!F9</x:f>
        <x:v>233.537259</x:v>
      </x:c>
      <x:c r="E9" s="20" t="n">
        <x:f>Sources!F22</x:f>
        <x:v>235.78131</x:v>
      </x:c>
      <x:c r="F9" s="20" t="n">
        <x:f>Sources!F82</x:f>
        <x:v>75.935191</x:v>
      </x:c>
      <x:c r="G9" s="20" t="n">
        <x:f>Sources!F95</x:f>
        <x:v>202.503602</x:v>
      </x:c>
      <x:c r="H9" s="20" t="n">
        <x:f>Sources!F108</x:f>
        <x:v>322.352375</x:v>
      </x:c>
      <x:c r="I9" s="20" t="n">
        <x:f>Sources!F121</x:f>
        <x:v>181.709238</x:v>
      </x:c>
      <x:c r="J9" s="2"/>
      <x:c r="K9" s="1"/>
      <x:c r="L9" s="1"/>
    </x:row>
    <x:row r="10" ht="21" customHeight="1">
      <x:c r="A10" s="1"/>
      <x:c r="B10" s="1"/>
      <x:c r="C10" s="1" t="str">
        <x:v>final_tax</x:v>
      </x:c>
      <x:c r="D10" s="20" t="n">
        <x:f>Sources!F14</x:f>
        <x:v>21.37107</x:v>
      </x:c>
      <x:c r="E10" s="20" t="n">
        <x:f>Sources!F27</x:f>
        <x:v>4.122694</x:v>
      </x:c>
      <x:c r="F10" s="20" t="n">
        <x:f>Sources!F87</x:f>
        <x:v>0.105457</x:v>
      </x:c>
      <x:c r="G10" s="20" t="n">
        <x:f>Sources!F100</x:f>
        <x:v>2.022429</x:v>
      </x:c>
      <x:c r="H10" s="20" t="n">
        <x:f>Sources!F113</x:f>
        <x:v>2.299684</x:v>
      </x:c>
      <x:c r="I10" s="20" t="n">
        <x:f>Sources!F126</x:f>
        <x:v>2.955124</x:v>
      </x:c>
      <x:c r="J10" s="2"/>
      <x:c r="K10" s="1"/>
      <x:c r="L10" s="1"/>
    </x:row>
    <x:row r="11" ht="21" customHeight="1">
      <x:c r="A11" s="1"/>
      <x:c r="B11" s="1"/>
      <x:c r="C11" s="1" t="str">
        <x:v>finance_income</x:v>
      </x:c>
      <x:c r="D11" s="20" t="n">
        <x:f>Sources!F10</x:f>
        <x:v>4.541142</x:v>
      </x:c>
      <x:c r="E11" s="20" t="n">
        <x:f>Sources!F23</x:f>
        <x:v>15.887456</x:v>
      </x:c>
      <x:c r="F11" s="20" t="n">
        <x:f>Sources!F83</x:f>
        <x:v>2.497218</x:v>
      </x:c>
      <x:c r="G11" s="20" t="n">
        <x:f>Sources!F96</x:f>
        <x:v>3.92069</x:v>
      </x:c>
      <x:c r="H11" s="20" t="n">
        <x:f>Sources!F109</x:f>
        <x:v>5.565778</x:v>
      </x:c>
      <x:c r="I11" s="20" t="n">
        <x:f>Sources!F122</x:f>
        <x:v>5.539977</x:v>
      </x:c>
      <x:c r="J11" s="2"/>
      <x:c r="K11" s="1"/>
      <x:c r="L11" s="1"/>
    </x:row>
    <x:row r="12" ht="21" customHeight="1">
      <x:c r="A12" s="1"/>
      <x:c r="B12" s="1"/>
      <x:c r="C12" s="1" t="str">
        <x:v>finance_cost</x:v>
      </x:c>
      <x:c r="D12" s="20" t="n">
        <x:f>Sources!F11</x:f>
        <x:v>85.149412</x:v>
      </x:c>
      <x:c r="E12" s="20" t="n">
        <x:f>Sources!F24</x:f>
        <x:v>258.691977</x:v>
      </x:c>
      <x:c r="F12" s="20" t="n">
        <x:f>Sources!F84</x:f>
        <x:v>70.173427</x:v>
      </x:c>
      <x:c r="G12" s="20" t="n">
        <x:f>Sources!F97</x:f>
        <x:v>207.155959</x:v>
      </x:c>
      <x:c r="H12" s="20" t="n">
        <x:f>Sources!F110</x:f>
        <x:v>319.431476</x:v>
      </x:c>
      <x:c r="I12" s="20" t="n">
        <x:f>Sources!F123</x:f>
        <x:v>177.979268</x:v>
      </x:c>
      <x:c r="J12" s="2"/>
      <x:c r="K12" s="1"/>
      <x:c r="L12" s="1"/>
    </x:row>
    <x:row r="13" ht="21" customHeight="1">
      <x:c r="A13" s="1"/>
      <x:c r="B13" s="1"/>
      <x:c r="C13" s="1" t="str">
        <x:v>fx</x:v>
      </x:c>
      <x:c r="D13" s="20" t="n">
        <x:f>Sources!F12</x:f>
        <x:v>-3.145583</x:v>
      </x:c>
      <x:c r="E13" s="20" t="n">
        <x:f>Sources!F25</x:f>
        <x:v>-2.647003</x:v>
      </x:c>
      <x:c r="F13" s="20" t="n">
        <x:f>Sources!F85</x:f>
        <x:v>1.629892</x:v>
      </x:c>
      <x:c r="G13" s="20" t="n">
        <x:f>Sources!F98</x:f>
        <x:v>4.135855</x:v>
      </x:c>
      <x:c r="H13" s="20" t="n">
        <x:f>Sources!F111</x:f>
        <x:v>3.538426</x:v>
      </x:c>
      <x:c r="I13" s="20" t="n">
        <x:f>Sources!F124</x:f>
        <x:v>-2.961729</x:v>
      </x:c>
      <x:c r="J13" s="2"/>
      <x:c r="K13" s="1"/>
      <x:c r="L13" s="1"/>
    </x:row>
    <x:row r="14" ht="21" customHeight="1">
      <x:c r="A14" s="1"/>
      <x:c r="B14" s="1"/>
      <x:c r="C14" s="1" t="str">
        <x:v>associates</x:v>
      </x:c>
      <x:c r="D14" s="20" t="n">
        <x:f>Sources!F13</x:f>
        <x:v>0.455466</x:v>
      </x:c>
      <x:c r="E14" s="20" t="n">
        <x:f>Sources!F26</x:f>
        <x:v>0.112332</x:v>
      </x:c>
      <x:c r="F14" s="20" t="n">
        <x:f>Sources!F86</x:f>
        <x:v>0</x:v>
      </x:c>
      <x:c r="G14" s="20" t="n">
        <x:f>Sources!F99</x:f>
        <x:v>-0.108269</x:v>
      </x:c>
      <x:c r="H14" s="20" t="n">
        <x:f>Sources!F112</x:f>
        <x:v>-0.108269</x:v>
      </x:c>
      <x:c r="I14" s="20" t="n">
        <x:f>Sources!F125</x:f>
        <x:v>0.072538</x:v>
      </x:c>
      <x:c r="J14" s="2"/>
      <x:c r="K14" s="1"/>
      <x:c r="L14" s="1"/>
    </x:row>
    <x:row r="15" ht="21" customHeight="1">
      <x:c r="A15" s="1"/>
      <x:c r="B15" s="1"/>
      <x:c r="C15" s="1" t="str">
        <x:v>other</x:v>
      </x:c>
      <x:c r="D15" s="20" t="n">
        <x:f>Sources!F15</x:f>
        <x:v>-6.179188</x:v>
      </x:c>
      <x:c r="E15" s="20" t="n">
        <x:f>Sources!F28</x:f>
        <x:v>3736.812968</x:v>
      </x:c>
      <x:c r="F15" s="20" t="n">
        <x:f>Sources!F88</x:f>
        <x:v>-10.000428</x:v>
      </x:c>
      <x:c r="G15" s="20" t="n">
        <x:f>Sources!F101</x:f>
        <x:v>255.669766</x:v>
      </x:c>
      <x:c r="H15" s="20" t="n">
        <x:f>Sources!F114</x:f>
        <x:v>260.203417</x:v>
      </x:c>
      <x:c r="I15" s="20" t="n">
        <x:f>Sources!F127</x:f>
        <x:v>19.864226</x:v>
      </x:c>
      <x:c r="J15" s="2"/>
      <x:c r="K15" s="1"/>
      <x:c r="L15" s="1"/>
    </x:row>
    <x:row r="16" ht="21" customHeight="1">
      <x:c r="A16" s="1"/>
      <x:c r="B16" s="1"/>
      <x:c r="C16" s="1" t="str">
        <x:v>pbt</x:v>
      </x:c>
      <x:c r="D16" s="20" t="n">
        <x:f>Sources!F16</x:f>
        <x:v>95.079511</x:v>
      </x:c>
      <x:c r="E16" s="20" t="n">
        <x:f>Sources!F29</x:f>
        <x:v>4213.744744</x:v>
      </x:c>
      <x:c r="F16" s="20" t="n">
        <x:f>Sources!F89</x:f>
        <x:v>116.673945</x:v>
      </x:c>
      <x:c r="G16" s="20" t="n">
        <x:f>Sources!F102</x:f>
        <x:v>464.09634</x:v>
      </x:c>
      <x:c r="H16" s="20" t="n">
        <x:f>Sources!F115</x:f>
        <x:v>659.904035</x:v>
      </x:c>
      <x:c r="I16" s="20" t="n">
        <x:f>Sources!F128</x:f>
        <x:v>333.023551</x:v>
      </x:c>
      <x:c r="J16" s="2"/>
      <x:c r="K16" s="1"/>
      <x:c r="L16" s="1"/>
    </x:row>
    <x:row r="17" ht="21" customHeight="1">
      <x:c r="A17" s="1"/>
      <x:c r="B17" s="1"/>
      <x:c r="C17" s="1" t="str">
        <x:v>tax_expense</x:v>
      </x:c>
      <x:c r="D17" s="20" t="n">
        <x:f>Sources!F17</x:f>
        <x:v>39.834786</x:v>
      </x:c>
      <x:c r="E17" s="20" t="n">
        <x:f>Sources!F30</x:f>
        <x:v>-93.016518</x:v>
      </x:c>
      <x:c r="F17" s="20" t="n">
        <x:f>Sources!F90</x:f>
        <x:v>23.957204</x:v>
      </x:c>
      <x:c r="G17" s="20" t="n">
        <x:f>Sources!F103</x:f>
        <x:v>109.864199</x:v>
      </x:c>
      <x:c r="H17" s="20" t="n">
        <x:f>Sources!F116</x:f>
        <x:v>146.844161</x:v>
      </x:c>
      <x:c r="I17" s="20" t="n">
        <x:f>Sources!F129</x:f>
        <x:v>93.85479</x:v>
      </x:c>
      <x:c r="J17" s="2"/>
      <x:c r="K17" s="1"/>
      <x:c r="L17" s="1"/>
    </x:row>
    <x:row r="18" ht="21" customHeight="1">
      <x:c r="A18" s="1"/>
      <x:c r="B18" s="1"/>
      <x:c r="C18" s="1" t="str">
        <x:v>net_income</x:v>
      </x:c>
      <x:c r="D18" s="20" t="n">
        <x:f>Sources!F18</x:f>
        <x:v>55.244725</x:v>
      </x:c>
      <x:c r="E18" s="20" t="n">
        <x:f>Sources!F31</x:f>
        <x:v>4306.761262</x:v>
      </x:c>
      <x:c r="F18" s="20" t="n">
        <x:f>Sources!F91</x:f>
        <x:v>92.716741</x:v>
      </x:c>
      <x:c r="G18" s="20" t="n">
        <x:f>Sources!F104</x:f>
        <x:v>354.232141</x:v>
      </x:c>
      <x:c r="H18" s="20" t="n">
        <x:f>Sources!F117</x:f>
        <x:v>513.059874</x:v>
      </x:c>
      <x:c r="I18" s="20" t="n">
        <x:f>Sources!F130</x:f>
        <x:v>239.168761</x:v>
      </x:c>
      <x:c r="J18" s="2"/>
      <x:c r="K18" s="1"/>
      <x:c r="L18" s="1"/>
    </x:row>
    <x:row r="19" ht="21" customHeight="1">
      <x:c r="A19" s="1"/>
      <x:c r="B19" s="1"/>
      <x:c r="C19" s="1"/>
      <x:c r="D19" s="2"/>
      <x:c r="E19" s="2"/>
      <x:c r="F19" s="2"/>
      <x:c r="G19" s="2"/>
      <x:c r="H19" s="2"/>
      <x:c r="I19" s="2"/>
      <x:c r="J19" s="2"/>
      <x:c r="K19" s="1"/>
      <x:c r="L19" s="1"/>
    </x:row>
    <x:row r="20" ht="21" customHeight="1">
      <x:c r="A20" s="1"/>
      <x:c r="B20" s="1"/>
      <x:c r="C20" s="1" t="str">
        <x:v>da_ppe</x:v>
      </x:c>
      <x:c r="D20" s="20" t="n">
        <x:f>Sources!F40</x:f>
        <x:v>555.013289</x:v>
      </x:c>
      <x:c r="E20" s="20" t="n">
        <x:f>Sources!F38</x:f>
        <x:v>861.961837</x:v>
      </x:c>
      <x:c r="F20" s="20" t="n">
        <x:f>Sources!F137</x:f>
        <x:v>239.217769</x:v>
      </x:c>
      <x:c r="G20" s="20" t="n">
        <x:f>Sources!F148</x:f>
        <x:v>513.356914</x:v>
      </x:c>
      <x:c r="H20" s="20" t="n">
        <x:f>Sources!F180</x:f>
        <x:v>826.160554</x:v>
      </x:c>
      <x:c r="I20" s="2" t="str">
        <x:v>n.a.</x:v>
      </x:c>
      <x:c r="J20" s="2"/>
      <x:c r="K20" s="1"/>
      <x:c r="L20" s="1"/>
    </x:row>
    <x:row r="21" ht="21" customHeight="1">
      <x:c r="A21" s="1"/>
      <x:c r="B21" s="1"/>
      <x:c r="C21" s="1" t="str">
        <x:v>da_rou</x:v>
      </x:c>
      <x:c r="D21" s="20" t="n">
        <x:f>Sources!F41</x:f>
        <x:v>135.219079</x:v>
      </x:c>
      <x:c r="E21" s="20" t="n">
        <x:f>Sources!F39</x:f>
        <x:v>78.711678</x:v>
      </x:c>
      <x:c r="F21" s="20" t="n">
        <x:f>Sources!F138</x:f>
        <x:v>10.188636</x:v>
      </x:c>
      <x:c r="G21" s="20" t="n">
        <x:f>Sources!F149</x:f>
        <x:v>13.323571</x:v>
      </x:c>
      <x:c r="H21" s="20" t="n">
        <x:f>Sources!F181</x:f>
        <x:v>19.082226</x:v>
      </x:c>
      <x:c r="I21" s="2" t="str">
        <x:v>n.a.</x:v>
      </x:c>
      <x:c r="J21" s="2"/>
      <x:c r="K21" s="1"/>
      <x:c r="L21" s="1"/>
    </x:row>
    <x:row r="22" ht="21" customHeight="1">
      <x:c r="A22" s="1"/>
      <x:c r="B22" s="1"/>
      <x:c r="C22" s="1"/>
      <x:c r="D22" s="2"/>
      <x:c r="E22" s="2"/>
      <x:c r="F22" s="2"/>
      <x:c r="G22" s="2"/>
      <x:c r="H22" s="2"/>
      <x:c r="I22" s="2"/>
      <x:c r="J22" s="2"/>
      <x:c r="K22" s="1"/>
      <x:c r="L22" s="1"/>
    </x:row>
    <x:row r="23" ht="21" customHeight="1">
      <x:c r="A23" s="1"/>
      <x:c r="B23" s="1"/>
      <x:c r="C23" s="35" t="str">
        <x:v>Normalized EBIT</x:v>
      </x:c>
      <x:c r="D23" s="36" t="n">
        <x:f>D6-D7-D9-D10</x:f>
        <x:v>184.55708600000057</x:v>
      </x:c>
      <x:c r="E23" s="36" t="n">
        <x:f>E6-E7-E9-E10</x:f>
        <x:v>722.2709680000007</x:v>
      </x:c>
      <x:c r="F23" s="36" t="n">
        <x:f>F6-F7-F9-F10</x:f>
        <x:v>192.72069000000002</x:v>
      </x:c>
      <x:c r="G23" s="36" t="n">
        <x:f>G6-G7-G9-G10</x:f>
        <x:v>407.63425700000005</x:v>
      </x:c>
      <x:c r="H23" s="36" t="n">
        <x:f>H6-H7-H9-H10</x:f>
        <x:v>710.1361589999998</x:v>
      </x:c>
      <x:c r="I23" s="9" t="n">
        <x:f>I6-I7-I9-I10</x:f>
        <x:v>488.4878070000004</x:v>
      </x:c>
      <x:c r="J23" s="2"/>
      <x:c r="K23" s="1"/>
      <x:c r="L23" s="1"/>
    </x:row>
    <x:row r="24" ht="21" customHeight="1">
      <x:c r="A24" s="1"/>
      <x:c r="B24" s="1"/>
      <x:c r="C24" s="35" t="str">
        <x:v>Normalized EBITDA</x:v>
      </x:c>
      <x:c r="D24" s="36" t="n">
        <x:f>D23+D20+D21</x:f>
        <x:v>874.7894540000005</x:v>
      </x:c>
      <x:c r="E24" s="36" t="n">
        <x:f>E23+E20+E21</x:f>
        <x:v>1662.9444830000007</x:v>
      </x:c>
      <x:c r="F24" s="36" t="n">
        <x:f>F23+F20+F21</x:f>
        <x:v>442.127095</x:v>
      </x:c>
      <x:c r="G24" s="36" t="n">
        <x:f>G23+G20+G21</x:f>
        <x:v>934.314742</x:v>
      </x:c>
      <x:c r="H24" s="36" t="n">
        <x:f>H23+H20+H21</x:f>
        <x:v>1555.3789389999997</x:v>
      </x:c>
      <x:c r="I24" s="2" t="str">
        <x:v>n.a.</x:v>
      </x:c>
      <x:c r="J24" s="2"/>
      <x:c r="K24" s="1"/>
      <x:c r="L24" s="1"/>
    </x:row>
    <x:row r="25" ht="21" customHeight="1">
      <x:c r="A25" s="1"/>
      <x:c r="B25" s="1"/>
      <x:c r="C25" s="1" t="str">
        <x:v>Normalized EBIT margin</x:v>
      </x:c>
      <x:c r="D25" s="12" t="n">
        <x:f>D23/D6</x:f>
        <x:v>0.03059655350954483</x:v>
      </x:c>
      <x:c r="E25" s="12" t="n">
        <x:f>E23/E6</x:f>
        <x:v>0.11298272433701594</x:v>
      </x:c>
      <x:c r="F25" s="12" t="n">
        <x:f>F23/F6</x:f>
        <x:v>0.12439197548199568</x:v>
      </x:c>
      <x:c r="G25" s="12" t="n">
        <x:f>G23/G6</x:f>
        <x:v>0.12714268581586588</x:v>
      </x:c>
      <x:c r="H25" s="12" t="n">
        <x:f>H23/H6</x:f>
        <x:v>0.13918740015479775</x:v>
      </x:c>
      <x:c r="I25" s="12" t="n">
        <x:f>I23/I6</x:f>
        <x:v>0.1050428660359262</x:v>
      </x:c>
      <x:c r="J25" s="2"/>
      <x:c r="K25" s="1"/>
      <x:c r="L25" s="1"/>
    </x:row>
    <x:row r="26" ht="21" customHeight="1">
      <x:c r="A26" s="1"/>
      <x:c r="B26" s="1"/>
      <x:c r="C26" s="1"/>
      <x:c r="D26" s="2"/>
      <x:c r="E26" s="2"/>
      <x:c r="F26" s="2"/>
      <x:c r="G26" s="2"/>
      <x:c r="H26" s="2"/>
      <x:c r="I26" s="2"/>
      <x:c r="J26" s="2"/>
      <x:c r="K26" s="1"/>
      <x:c r="L26" s="1"/>
    </x:row>
    <x:row r="27" ht="21" customHeight="1">
      <x:c r="A27" s="1"/>
      <x:c r="B27" s="1"/>
      <x:c r="C27" s="1"/>
      <x:c r="D27" s="2"/>
      <x:c r="E27" s="2"/>
      <x:c r="F27" s="2"/>
      <x:c r="G27" s="2"/>
      <x:c r="H27" s="2"/>
      <x:c r="I27" s="2"/>
      <x:c r="J27" s="2"/>
      <x:c r="K27" s="1"/>
      <x:c r="L27" s="1"/>
    </x:row>
    <x:row r="28" ht="21" customHeight="1">
      <x:c r="A28" s="1"/>
      <x:c r="B28" s="1"/>
      <x:c r="C28" s="1"/>
      <x:c r="D28" s="2"/>
      <x:c r="E28" s="2"/>
      <x:c r="F28" s="2"/>
      <x:c r="G28" s="2"/>
      <x:c r="H28" s="2"/>
      <x:c r="I28" s="2"/>
      <x:c r="J28" s="2"/>
      <x:c r="K28" s="1"/>
      <x:c r="L28" s="1"/>
    </x:row>
    <x:row r="29" ht="21" customHeight="1">
      <x:c r="A29" s="1"/>
      <x:c r="B29" s="1"/>
      <x:c r="C29" s="1" t="str">
        <x:v>assets</x:v>
      </x:c>
      <x:c r="D29" s="20" t="n">
        <x:f>Sources!F73</x:f>
        <x:v>8534.262123</x:v>
      </x:c>
      <x:c r="E29" s="20" t="n">
        <x:f>Sources!F42</x:f>
        <x:v>16734.972389</x:v>
      </x:c>
      <x:c r="F29" s="20" t="n">
        <x:f>Sources!F131</x:f>
        <x:v>15952.540404</x:v>
      </x:c>
      <x:c r="G29" s="20" t="n">
        <x:f>Sources!F142</x:f>
        <x:v>17626.726284</x:v>
      </x:c>
      <x:c r="H29" s="20" t="n">
        <x:f>Sources!F153</x:f>
        <x:v>18136.812791</x:v>
      </x:c>
      <x:c r="I29" s="2" t="str">
        <x:v>n.a.</x:v>
      </x:c>
      <x:c r="J29" s="2"/>
      <x:c r="K29" s="1"/>
      <x:c r="L29" s="1"/>
    </x:row>
    <x:row r="30" ht="21" customHeight="1">
      <x:c r="A30" s="1"/>
      <x:c r="B30" s="1"/>
      <x:c r="C30" s="1" t="str">
        <x:v>liabilities</x:v>
      </x:c>
      <x:c r="D30" s="20" t="n">
        <x:f>Sources!F75</x:f>
        <x:v>5495.545182</x:v>
      </x:c>
      <x:c r="E30" s="20" t="n">
        <x:f>Sources!F51</x:f>
        <x:v>8143.839115</x:v>
      </x:c>
      <x:c r="F30" s="20" t="n">
        <x:f>Sources!F132</x:f>
        <x:v>8060.112649</x:v>
      </x:c>
      <x:c r="G30" s="20" t="n">
        <x:f>Sources!F143</x:f>
        <x:v>9515.555808</x:v>
      </x:c>
      <x:c r="H30" s="20" t="n">
        <x:f>Sources!F154</x:f>
        <x:v>9866.814582</x:v>
      </x:c>
      <x:c r="I30" s="2" t="str">
        <x:v>n.a.</x:v>
      </x:c>
      <x:c r="J30" s="2"/>
      <x:c r="K30" s="1"/>
      <x:c r="L30" s="1"/>
    </x:row>
    <x:row r="31" ht="21" customHeight="1">
      <x:c r="A31" s="1"/>
      <x:c r="B31" s="1"/>
      <x:c r="C31" s="1" t="str">
        <x:v>equity</x:v>
      </x:c>
      <x:c r="D31" s="20" t="n">
        <x:f>Sources!F76</x:f>
        <x:v>3038.716941</x:v>
      </x:c>
      <x:c r="E31" s="20" t="n">
        <x:f>Sources!F64</x:f>
        <x:v>8591.133274</x:v>
      </x:c>
      <x:c r="F31" s="20" t="n">
        <x:f>Sources!F133</x:f>
        <x:v>7892.427755</x:v>
      </x:c>
      <x:c r="G31" s="20" t="n">
        <x:f>Sources!F144</x:f>
        <x:v>8111.170476</x:v>
      </x:c>
      <x:c r="H31" s="20" t="n">
        <x:f>Sources!F155</x:f>
        <x:v>8269.998209</x:v>
      </x:c>
      <x:c r="I31" s="2" t="str">
        <x:v>n.a.</x:v>
      </x:c>
      <x:c r="J31" s="2"/>
      <x:c r="K31" s="1"/>
      <x:c r="L31" s="1"/>
    </x:row>
    <x:row r="32" ht="21" customHeight="1">
      <x:c r="A32" s="1"/>
      <x:c r="B32" s="1"/>
      <x:c r="C32" s="1" t="str">
        <x:v>cash</x:v>
      </x:c>
      <x:c r="D32" s="20" t="n">
        <x:f>Sources!F74</x:f>
        <x:v>346.530081</x:v>
      </x:c>
      <x:c r="E32" s="20" t="n">
        <x:f>Sources!F43</x:f>
        <x:v>1590.630399</x:v>
      </x:c>
      <x:c r="F32" s="20" t="n">
        <x:f>Sources!F136</x:f>
        <x:v>486.824326</x:v>
      </x:c>
      <x:c r="G32" s="20" t="n">
        <x:f>Sources!F147</x:f>
        <x:v>644.250375</x:v>
      </x:c>
      <x:c r="H32" s="20" t="n">
        <x:f>Sources!F159</x:f>
        <x:v>744.92702</x:v>
      </x:c>
      <x:c r="I32" s="2" t="str">
        <x:v>n.a.</x:v>
      </x:c>
      <x:c r="J32" s="2"/>
      <x:c r="K32" s="1"/>
      <x:c r="L32" s="1"/>
    </x:row>
    <x:row r="33" ht="21" customHeight="1">
      <x:c r="A33" s="1"/>
      <x:c r="B33" s="1"/>
      <x:c r="C33" s="1" t="str">
        <x:v>cfo</x:v>
      </x:c>
      <x:c r="D33" s="2" t="str">
        <x:v>n.a.</x:v>
      </x:c>
      <x:c r="E33" s="20" t="n">
        <x:f>Sources!F68</x:f>
        <x:v>1456.111678</x:v>
      </x:c>
      <x:c r="F33" s="20" t="n">
        <x:f>Sources!F139</x:f>
        <x:v>138.414164</x:v>
      </x:c>
      <x:c r="G33" s="20" t="n">
        <x:f>Sources!F150</x:f>
        <x:v>658.640617</x:v>
      </x:c>
      <x:c r="H33" s="20" t="n">
        <x:f>Sources!F182</x:f>
        <x:v>1664.807517</x:v>
      </x:c>
      <x:c r="I33" s="20" t="n">
        <x:f>Sources!F186</x:f>
        <x:v>1299.097101</x:v>
      </x:c>
      <x:c r="J33" s="2"/>
      <x:c r="K33" s="1"/>
      <x:c r="L33" s="1"/>
    </x:row>
    <x:row r="34" ht="21" customHeight="1">
      <x:c r="A34" s="1"/>
      <x:c r="B34" s="1"/>
      <x:c r="C34" s="1" t="str">
        <x:v>cfi</x:v>
      </x:c>
      <x:c r="D34" s="2" t="str">
        <x:v>n.a.</x:v>
      </x:c>
      <x:c r="E34" s="20" t="n">
        <x:f>Sources!F70</x:f>
        <x:v>-1686.223847</x:v>
      </x:c>
      <x:c r="F34" s="20" t="n">
        <x:f>Sources!F140</x:f>
        <x:v>-251.023442</x:v>
      </x:c>
      <x:c r="G34" s="20" t="n">
        <x:f>Sources!F151</x:f>
        <x:v>-1471.353989</x:v>
      </x:c>
      <x:c r="H34" s="20" t="n">
        <x:f>Sources!F184</x:f>
        <x:v>-2158.160222</x:v>
      </x:c>
      <x:c r="I34" s="2" t="str">
        <x:v>n.a.</x:v>
      </x:c>
      <x:c r="J34" s="2"/>
      <x:c r="K34" s="1"/>
      <x:c r="L34" s="1"/>
    </x:row>
    <x:row r="35" ht="21" customHeight="1">
      <x:c r="A35" s="1"/>
      <x:c r="B35" s="1"/>
      <x:c r="C35" s="1" t="str">
        <x:v>cff</x:v>
      </x:c>
      <x:c r="D35" s="2" t="str">
        <x:v>n.a.</x:v>
      </x:c>
      <x:c r="E35" s="20" t="n">
        <x:f>Sources!F71</x:f>
        <x:v>1474.212487</x:v>
      </x:c>
      <x:c r="F35" s="20" t="n">
        <x:f>Sources!F141</x:f>
        <x:v>-991.196795</x:v>
      </x:c>
      <x:c r="G35" s="20" t="n">
        <x:f>Sources!F152</x:f>
        <x:v>-133.666652</x:v>
      </x:c>
      <x:c r="H35" s="20" t="n">
        <x:f>Sources!F185</x:f>
        <x:v>-352.350674</x:v>
      </x:c>
      <x:c r="I35" s="2" t="str">
        <x:v>n.a.</x:v>
      </x:c>
      <x:c r="J35" s="2"/>
      <x:c r="K35" s="1"/>
      <x:c r="L35" s="1"/>
    </x:row>
    <x:row r="36" ht="21" customHeight="1">
      <x:c r="A36" s="1"/>
      <x:c r="B36" s="1"/>
      <x:c r="C36" s="1"/>
      <x:c r="D36" s="2"/>
      <x:c r="E36" s="2"/>
      <x:c r="F36" s="2"/>
      <x:c r="G36" s="2"/>
      <x:c r="H36" s="2"/>
      <x:c r="I36" s="2"/>
      <x:c r="J36" s="2"/>
      <x:c r="K36" s="1"/>
      <x:c r="L36" s="1"/>
    </x:row>
    <x:row r="37" ht="21" customHeight="1">
      <x:c r="A37" s="1"/>
      <x:c r="B37" s="1"/>
      <x:c r="C37" s="1"/>
      <x:c r="D37" s="2"/>
      <x:c r="E37" s="2"/>
      <x:c r="F37" s="2"/>
      <x:c r="G37" s="2"/>
      <x:c r="H37" s="2"/>
      <x:c r="I37" s="2"/>
      <x:c r="J37" s="2"/>
      <x:c r="K37" s="1"/>
      <x:c r="L37" s="1"/>
    </x:row>
    <x:row r="38" ht="25" customHeight="1">
      <x:c r="A38" s="1"/>
      <x:c r="B38" s="1"/>
      <x:c r="C38" s="16" t="str">
        <x:v>Standalone quarters (YTD differences)</x:v>
      </x:c>
      <x:c r="D38" s="17"/>
      <x:c r="E38" s="17"/>
      <x:c r="F38" s="17"/>
      <x:c r="G38" s="17"/>
      <x:c r="H38" s="17"/>
      <x:c r="I38" s="17"/>
      <x:c r="J38" s="17"/>
      <x:c r="K38" s="1"/>
      <x:c r="L38" s="1"/>
    </x:row>
    <x:row r="39" ht="21" customHeight="1">
      <x:c r="A39" s="1"/>
      <x:c r="B39" s="1"/>
      <x:c r="C39" s="1"/>
      <x:c r="D39" s="2" t="str">
        <x:v>Q1:26</x:v>
      </x:c>
      <x:c r="E39" s="2" t="str">
        <x:v>Q2:26</x:v>
      </x:c>
      <x:c r="F39" s="2" t="str">
        <x:v>Q3:26</x:v>
      </x:c>
      <x:c r="G39" s="2"/>
      <x:c r="H39" s="2"/>
      <x:c r="I39" s="2"/>
      <x:c r="J39" s="2"/>
      <x:c r="K39" s="1"/>
      <x:c r="L39" s="1"/>
    </x:row>
    <x:row r="40" ht="21" customHeight="1">
      <x:c r="A40" s="1"/>
      <x:c r="B40" s="1"/>
      <x:c r="C40" s="1" t="str">
        <x:v>Revenue</x:v>
      </x:c>
      <x:c r="D40" s="9" t="n">
        <x:f>F6</x:f>
        <x:v>1549.301627</x:v>
      </x:c>
      <x:c r="E40" s="9" t="n">
        <x:f>G6-F6</x:f>
        <x:v>1656.814827</x:v>
      </x:c>
      <x:c r="F40" s="9" t="n">
        <x:f>H6-G6</x:f>
        <x:v>1895.8982269999997</x:v>
      </x:c>
      <x:c r="G40" s="2"/>
      <x:c r="H40" s="2"/>
      <x:c r="I40" s="2"/>
      <x:c r="J40" s="2"/>
      <x:c r="K40" s="1"/>
      <x:c r="L40" s="1"/>
    </x:row>
    <x:row r="41" ht="21" customHeight="1">
      <x:c r="A41" s="1"/>
      <x:c r="B41" s="1"/>
      <x:c r="C41" s="1" t="str">
        <x:v>Reported profit</x:v>
      </x:c>
      <x:c r="D41" s="9" t="n">
        <x:f>F18</x:f>
        <x:v>92.716741</x:v>
      </x:c>
      <x:c r="E41" s="9" t="n">
        <x:f>G18-F18</x:f>
        <x:v>261.5154</x:v>
      </x:c>
      <x:c r="F41" s="9" t="n">
        <x:f>H18-G18</x:f>
        <x:v>158.82773300000002</x:v>
      </x:c>
      <x:c r="G41" s="2"/>
      <x:c r="H41" s="2"/>
      <x:c r="I41" s="2"/>
      <x:c r="J41" s="2"/>
      <x:c r="K41" s="1"/>
      <x:c r="L41" s="1"/>
    </x:row>
    <x:row r="42" ht="21" customHeight="1">
      <x:c r="A42" s="1"/>
      <x:c r="B42" s="1"/>
      <x:c r="C42" s="1"/>
      <x:c r="D42" s="2"/>
      <x:c r="E42" s="2"/>
      <x:c r="F42" s="2"/>
      <x:c r="G42" s="2"/>
      <x:c r="H42" s="2"/>
      <x:c r="I42" s="2"/>
      <x:c r="J42" s="2"/>
      <x:c r="K42" s="1"/>
      <x:c r="L42" s="1"/>
    </x:row>
    <x:row r="43" ht="21" customHeight="1">
      <x:c r="A43" s="1"/>
      <x:c r="B43" s="1"/>
      <x:c r="C43" s="1"/>
      <x:c r="D43" s="2"/>
      <x:c r="E43" s="2"/>
      <x:c r="F43" s="2"/>
      <x:c r="G43" s="2"/>
      <x:c r="H43" s="2"/>
      <x:c r="I43" s="2"/>
      <x:c r="J43" s="2"/>
      <x:c r="K43" s="1"/>
      <x:c r="L43" s="1"/>
    </x:row>
    <x:row r="44" ht="25" customHeight="1">
      <x:c r="A44" s="1"/>
      <x:c r="B44" s="1"/>
      <x:c r="C44" s="16" t="str">
        <x:v>Acquisition and restatement bridges</x:v>
      </x:c>
      <x:c r="D44" s="17"/>
      <x:c r="E44" s="17"/>
      <x:c r="F44" s="17"/>
      <x:c r="G44" s="17"/>
      <x:c r="H44" s="17"/>
      <x:c r="I44" s="17"/>
      <x:c r="J44" s="17"/>
      <x:c r="K44" s="1"/>
      <x:c r="L44" s="1"/>
    </x:row>
    <x:row r="45" ht="21" customHeight="1">
      <x:c r="A45" s="1"/>
      <x:c r="B45" s="1"/>
      <x:c r="C45" s="1" t="str">
        <x:v>FY2025 acquisition gain</x:v>
      </x:c>
      <x:c r="D45" s="20" t="n">
        <x:f>Sources!F32</x:f>
        <x:v>4535.394669</x:v>
      </x:c>
      <x:c r="E45" s="2"/>
      <x:c r="F45" s="2"/>
      <x:c r="G45" s="2"/>
      <x:c r="H45" s="2"/>
      <x:c r="I45" s="2"/>
      <x:c r="J45" s="2"/>
      <x:c r="K45" s="1"/>
      <x:c r="L45" s="1"/>
    </x:row>
    <x:row r="46" ht="21" customHeight="1">
      <x:c r="A46" s="1"/>
      <x:c r="B46" s="1"/>
      <x:c r="C46" s="1" t="str">
        <x:v>Less receivable writeoff</x:v>
      </x:c>
      <x:c r="D46" s="20" t="n">
        <x:f>-Sources!F33</x:f>
        <x:v>-56.481274</x:v>
      </x:c>
      <x:c r="E46" s="2"/>
      <x:c r="F46" s="2"/>
      <x:c r="G46" s="2"/>
      <x:c r="H46" s="2"/>
      <x:c r="I46" s="2"/>
      <x:c r="J46" s="2"/>
      <x:c r="K46" s="1"/>
      <x:c r="L46" s="1"/>
    </x:row>
    <x:row r="47" ht="21" customHeight="1">
      <x:c r="A47" s="1"/>
      <x:c r="B47" s="1"/>
      <x:c r="C47" s="1" t="str">
        <x:v>Less loss of control</x:v>
      </x:c>
      <x:c r="D47" s="20" t="n">
        <x:f>-Sources!F34</x:f>
        <x:v>-82.41174</x:v>
      </x:c>
      <x:c r="E47" s="2"/>
      <x:c r="F47" s="2"/>
      <x:c r="G47" s="2"/>
      <x:c r="H47" s="2"/>
      <x:c r="I47" s="2"/>
      <x:c r="J47" s="2"/>
      <x:c r="K47" s="1"/>
      <x:c r="L47" s="1"/>
    </x:row>
    <x:row r="48" ht="21" customHeight="1">
      <x:c r="A48" s="1"/>
      <x:c r="B48" s="1"/>
      <x:c r="C48" s="1" t="str">
        <x:v>Less inventory writeoff</x:v>
      </x:c>
      <x:c r="D48" s="20" t="n">
        <x:f>-Sources!F35</x:f>
        <x:v>-83.445287</x:v>
      </x:c>
      <x:c r="E48" s="2"/>
      <x:c r="F48" s="2"/>
      <x:c r="G48" s="2"/>
      <x:c r="H48" s="2"/>
      <x:c r="I48" s="2"/>
      <x:c r="J48" s="2"/>
      <x:c r="K48" s="1"/>
      <x:c r="L48" s="1"/>
    </x:row>
    <x:row r="49" ht="21" customHeight="1">
      <x:c r="A49" s="1"/>
      <x:c r="B49" s="1"/>
      <x:c r="C49" s="1" t="str">
        <x:v>Less asset disposal loss</x:v>
      </x:c>
      <x:c r="D49" s="20" t="n">
        <x:f>-Sources!F36</x:f>
        <x:v>-501.443133</x:v>
      </x:c>
      <x:c r="E49" s="2"/>
      <x:c r="F49" s="2"/>
      <x:c r="G49" s="2"/>
      <x:c r="H49" s="2"/>
      <x:c r="I49" s="2"/>
      <x:c r="J49" s="2"/>
      <x:c r="K49" s="1"/>
      <x:c r="L49" s="1"/>
    </x:row>
    <x:row r="50" ht="21" customHeight="1">
      <x:c r="A50" s="1"/>
      <x:c r="B50" s="1"/>
      <x:c r="C50" s="1" t="str">
        <x:v>Other residual</x:v>
      </x:c>
      <x:c r="D50" s="20" t="n">
        <x:f>Sources!F37</x:f>
        <x:v>-74.800267</x:v>
      </x:c>
      <x:c r="E50" s="2"/>
      <x:c r="F50" s="2"/>
      <x:c r="G50" s="2"/>
      <x:c r="H50" s="2"/>
      <x:c r="I50" s="2"/>
      <x:c r="J50" s="2"/>
      <x:c r="K50" s="1"/>
      <x:c r="L50" s="1"/>
    </x:row>
    <x:row r="51" ht="21" customHeight="1">
      <x:c r="A51" s="1"/>
      <x:c r="B51" s="1"/>
      <x:c r="C51" s="1" t="str">
        <x:v>FY2025 other gains / losses</x:v>
      </x:c>
      <x:c r="D51" s="9" t="n">
        <x:f>SUM(D45:D50)</x:f>
        <x:v>3736.8129680000015</x:v>
      </x:c>
      <x:c r="E51" s="2"/>
      <x:c r="F51" s="2"/>
      <x:c r="G51" s="2"/>
      <x:c r="H51" s="2"/>
      <x:c r="I51" s="2"/>
      <x:c r="J51" s="2"/>
      <x:c r="K51" s="1"/>
      <x:c r="L51" s="1"/>
    </x:row>
    <x:row r="52" ht="21" customHeight="1">
      <x:c r="A52" s="1"/>
      <x:c r="B52" s="1"/>
      <x:c r="C52" s="1" t="str">
        <x:v>2024 assets restatement delta</x:v>
      </x:c>
      <x:c r="D52" s="20" t="n">
        <x:f>Sources!F73-Sources!F189</x:f>
        <x:v>-272.0930989999997</x:v>
      </x:c>
      <x:c r="E52" s="2"/>
      <x:c r="F52" s="2"/>
      <x:c r="G52" s="2"/>
      <x:c r="H52" s="2"/>
      <x:c r="I52" s="2"/>
      <x:c r="J52" s="2"/>
      <x:c r="K52" s="1"/>
      <x:c r="L52" s="1"/>
    </x:row>
    <x:row r="53" ht="21" customHeight="1">
      <x:c r="A53" s="1"/>
      <x:c r="B53" s="1"/>
      <x:c r="C53" s="1" t="str">
        <x:v>2024 equity restatement delta</x:v>
      </x:c>
      <x:c r="D53" s="20" t="n">
        <x:f>Sources!F76-Sources!F190</x:f>
        <x:v>-272.0930989999997</x:v>
      </x:c>
      <x:c r="E53" s="2"/>
      <x:c r="F53" s="2"/>
      <x:c r="G53" s="2"/>
      <x:c r="H53" s="2"/>
      <x:c r="I53" s="2"/>
      <x:c r="J53" s="2"/>
      <x:c r="K53" s="1"/>
      <x:c r="L53" s="1"/>
    </x:row>
    <x:row r="54" ht="21" customHeight="1">
      <x:c r="A54" s="1"/>
      <x:c r="B54" s="1"/>
      <x:c r="C54" s="1" t="str">
        <x:v>2024 net income restatement delta</x:v>
      </x:c>
      <x:c r="D54" s="20" t="n">
        <x:f>Sources!F18-Sources!F192</x:f>
        <x:v>38.888825000000004</x:v>
      </x:c>
      <x:c r="E54" s="2"/>
      <x:c r="F54" s="2"/>
      <x:c r="G54" s="2"/>
      <x:c r="H54" s="2"/>
      <x:c r="I54" s="2"/>
      <x:c r="J54" s="2"/>
      <x:c r="K54" s="1"/>
      <x:c r="L54" s="1"/>
    </x:row>
    <x:row r="55" ht="21" customHeight="1">
      <x:c r="A55" s="1"/>
      <x:c r="B55" s="1"/>
      <x:c r="C55" s="1"/>
      <x:c r="D55" s="2"/>
      <x:c r="E55" s="2"/>
      <x:c r="F55" s="2"/>
      <x:c r="G55" s="2"/>
      <x:c r="H55" s="2"/>
      <x:c r="I55" s="2"/>
      <x:c r="J55" s="2"/>
      <x:c r="K55" s="1"/>
      <x:c r="L55" s="1"/>
    </x:row>
    <x:row r="56" ht="21" customHeight="1">
      <x:c r="A56" s="1"/>
      <x:c r="B56" s="1"/>
      <x:c r="C56" s="18" t="str">
        <x:v>2025 opening equity reclassification in 2026 interims: +2,110.012356 translation reserve, −2,110.012356 retained earnings. Total unchanged. Q3 PDF p22–23.</x:v>
      </x:c>
      <x:c r="D56" s="19"/>
      <x:c r="E56" s="19"/>
      <x:c r="F56" s="19"/>
      <x:c r="G56" s="19"/>
      <x:c r="H56" s="19"/>
      <x:c r="I56" s="19"/>
      <x:c r="J56" s="19"/>
      <x:c r="K56" s="1"/>
      <x:c r="L56" s="1"/>
    </x:row>
    <x:row r="57" ht="21" customHeight="1">
      <x:c r="A57" s="1"/>
      <x:c r="B57" s="1"/>
      <x:c r="C57" s="18"/>
      <x:c r="D57" s="19"/>
      <x:c r="E57" s="19"/>
      <x:c r="F57" s="19"/>
      <x:c r="G57" s="19"/>
      <x:c r="H57" s="19"/>
      <x:c r="I57" s="19"/>
      <x:c r="J57" s="19"/>
      <x:c r="K57" s="1"/>
      <x:c r="L57" s="1"/>
    </x:row>
    <x:row r="58" ht="21" customHeight="1">
      <x:c r="A58" s="1"/>
      <x:c r="B58" s="1"/>
      <x:c r="C58" s="18"/>
      <x:c r="D58" s="19"/>
      <x:c r="E58" s="19"/>
      <x:c r="F58" s="19"/>
      <x:c r="G58" s="19"/>
      <x:c r="H58" s="19"/>
      <x:c r="I58" s="19"/>
      <x:c r="J58" s="19"/>
      <x:c r="K58" s="1"/>
      <x:c r="L58" s="1"/>
    </x:row>
    <x:row r="59" ht="21" customHeight="1">
      <x:c r="A59" s="1"/>
      <x:c r="B59" s="1"/>
      <x:c r="C59" s="1"/>
      <x:c r="D59" s="2"/>
      <x:c r="E59" s="2"/>
      <x:c r="F59" s="2"/>
      <x:c r="G59" s="2"/>
      <x:c r="H59" s="2"/>
      <x:c r="I59" s="2"/>
      <x:c r="J59" s="2"/>
      <x:c r="K59" s="1"/>
      <x:c r="L59" s="1"/>
    </x:row>
    <x:row r="60" ht="21" customHeight="1">
      <x:c r="A60" s="1"/>
      <x:c r="B60" s="1"/>
      <x:c r="C60" s="1"/>
      <x:c r="D60" s="2"/>
      <x:c r="E60" s="2"/>
      <x:c r="F60" s="2"/>
      <x:c r="G60" s="2"/>
      <x:c r="H60" s="2"/>
      <x:c r="I60" s="2"/>
      <x:c r="J60" s="2"/>
      <x:c r="K60" s="1"/>
      <x:c r="L60" s="1"/>
    </x:row>
    <x:row r="61" ht="21" customHeight="1">
      <x:c r="A61" s="1"/>
      <x:c r="B61" s="1"/>
      <x:c r="C61" s="1"/>
      <x:c r="D61" s="2"/>
      <x:c r="E61" s="2"/>
      <x:c r="F61" s="2"/>
      <x:c r="G61" s="2"/>
      <x:c r="H61" s="2"/>
      <x:c r="I61" s="2"/>
      <x:c r="J61" s="2"/>
      <x:c r="K61" s="1"/>
      <x:c r="L61" s="1"/>
    </x:row>
    <x:row r="62" ht="21" customHeight="1">
      <x:c r="A62" s="1"/>
      <x:c r="B62" s="1"/>
      <x:c r="C62" s="1"/>
      <x:c r="D62" s="2"/>
      <x:c r="E62" s="2"/>
      <x:c r="F62" s="2"/>
      <x:c r="G62" s="2"/>
      <x:c r="H62" s="2"/>
      <x:c r="I62" s="2"/>
      <x:c r="J62" s="2"/>
      <x:c r="K62" s="1"/>
      <x:c r="L62" s="1"/>
    </x:row>
    <x:row r="63" ht="21" customHeight="1">
      <x:c r="A63" s="1"/>
      <x:c r="B63" s="1"/>
      <x:c r="C63" s="1"/>
      <x:c r="D63" s="2"/>
      <x:c r="E63" s="2"/>
      <x:c r="F63" s="2"/>
      <x:c r="G63" s="2"/>
      <x:c r="H63" s="2"/>
      <x:c r="I63" s="2"/>
      <x:c r="J63" s="2"/>
      <x:c r="K63" s="1"/>
      <x:c r="L63" s="1"/>
    </x:row>
    <x:row r="64" ht="21" customHeight="1">
      <x:c r="A64" s="1"/>
      <x:c r="B64" s="1"/>
      <x:c r="C64" s="1"/>
      <x:c r="D64" s="2"/>
      <x:c r="E64" s="2"/>
      <x:c r="F64" s="2"/>
      <x:c r="G64" s="2"/>
      <x:c r="H64" s="2"/>
      <x:c r="I64" s="2"/>
      <x:c r="J64" s="2"/>
      <x:c r="K64" s="1"/>
      <x:c r="L64" s="1"/>
    </x:row>
    <x:row r="65" ht="21" customHeight="1">
      <x:c r="A65" s="1"/>
      <x:c r="B65" s="1"/>
      <x:c r="C65" s="1"/>
      <x:c r="D65" s="2"/>
      <x:c r="E65" s="2"/>
      <x:c r="F65" s="2"/>
      <x:c r="G65" s="2"/>
      <x:c r="H65" s="2"/>
      <x:c r="I65" s="2"/>
      <x:c r="J65" s="2"/>
      <x:c r="K65" s="1"/>
      <x:c r="L65" s="1"/>
    </x:row>
    <x:row r="66" ht="21" customHeight="1">
      <x:c r="A66" s="1"/>
      <x:c r="B66" s="1"/>
      <x:c r="C66" s="1"/>
      <x:c r="D66" s="2"/>
      <x:c r="E66" s="2"/>
      <x:c r="F66" s="2"/>
      <x:c r="G66" s="2"/>
      <x:c r="H66" s="2"/>
      <x:c r="I66" s="2"/>
      <x:c r="J66" s="2"/>
      <x:c r="K66" s="1"/>
      <x:c r="L66" s="1"/>
    </x:row>
    <x:row r="67" ht="21" customHeight="1">
      <x:c r="A67" s="1"/>
      <x:c r="B67" s="1"/>
      <x:c r="C67" s="1"/>
      <x:c r="D67" s="2"/>
      <x:c r="E67" s="2"/>
      <x:c r="F67" s="2"/>
      <x:c r="G67" s="2"/>
      <x:c r="H67" s="2"/>
      <x:c r="I67" s="2"/>
      <x:c r="J67" s="2"/>
      <x:c r="K67" s="1"/>
      <x:c r="L67" s="1"/>
    </x:row>
    <x:row r="68" ht="21" customHeight="1">
      <x:c r="A68" s="1"/>
      <x:c r="B68" s="1"/>
      <x:c r="C68" s="1"/>
      <x:c r="D68" s="2"/>
      <x:c r="E68" s="2"/>
      <x:c r="F68" s="2"/>
      <x:c r="G68" s="2"/>
      <x:c r="H68" s="2"/>
      <x:c r="I68" s="2"/>
      <x:c r="J68" s="2"/>
      <x:c r="K68" s="1"/>
      <x:c r="L68" s="1"/>
    </x:row>
    <x:row r="69" ht="21" customHeight="1">
      <x:c r="A69" s="1"/>
      <x:c r="B69" s="1"/>
      <x:c r="C69" s="1"/>
      <x:c r="D69" s="2"/>
      <x:c r="E69" s="2"/>
      <x:c r="F69" s="2"/>
      <x:c r="G69" s="2"/>
      <x:c r="H69" s="2"/>
      <x:c r="I69" s="2"/>
      <x:c r="J69" s="2"/>
      <x:c r="K69" s="1"/>
      <x:c r="L69" s="1"/>
    </x:row>
    <x:row r="70" ht="21" customHeight="1">
      <x:c r="A70" s="1"/>
      <x:c r="B70" s="1"/>
      <x:c r="C70" s="1"/>
      <x:c r="D70" s="2"/>
      <x:c r="E70" s="2"/>
      <x:c r="F70" s="2"/>
      <x:c r="G70" s="2"/>
      <x:c r="H70" s="2"/>
      <x:c r="I70" s="2"/>
      <x:c r="J70" s="2"/>
      <x:c r="K70" s="1"/>
      <x:c r="L70" s="1"/>
    </x:row>
    <x:row r="71" ht="21" customHeight="1">
      <x:c r="A71" s="1"/>
      <x:c r="B71" s="1"/>
      <x:c r="C71" s="1"/>
      <x:c r="D71" s="2"/>
      <x:c r="E71" s="2"/>
      <x:c r="F71" s="2"/>
      <x:c r="G71" s="2"/>
      <x:c r="H71" s="2"/>
      <x:c r="I71" s="2"/>
      <x:c r="J71" s="2"/>
      <x:c r="K71" s="1"/>
      <x:c r="L71" s="1"/>
    </x:row>
    <x:row r="72" ht="21" customHeight="1">
      <x:c r="A72" s="1"/>
      <x:c r="B72" s="1"/>
      <x:c r="C72" s="1"/>
      <x:c r="D72" s="2"/>
      <x:c r="E72" s="2"/>
      <x:c r="F72" s="2"/>
      <x:c r="G72" s="2"/>
      <x:c r="H72" s="2"/>
      <x:c r="I72" s="2"/>
      <x:c r="J72" s="2"/>
      <x:c r="K72" s="1"/>
      <x:c r="L72" s="1"/>
    </x:row>
    <x:row r="73" ht="21" customHeight="1">
      <x:c r="A73" s="1"/>
      <x:c r="B73" s="1"/>
      <x:c r="C73" s="1"/>
      <x:c r="D73" s="2"/>
      <x:c r="E73" s="2"/>
      <x:c r="F73" s="2"/>
      <x:c r="G73" s="2"/>
      <x:c r="H73" s="2"/>
      <x:c r="I73" s="2"/>
      <x:c r="J73" s="2"/>
      <x:c r="K73" s="1"/>
      <x:c r="L73" s="1"/>
    </x:row>
    <x:row r="74" ht="21" customHeight="1">
      <x:c r="A74" s="1"/>
      <x:c r="B74" s="1"/>
      <x:c r="C74" s="1"/>
      <x:c r="D74" s="2"/>
      <x:c r="E74" s="2"/>
      <x:c r="F74" s="2"/>
      <x:c r="G74" s="2"/>
      <x:c r="H74" s="2"/>
      <x:c r="I74" s="2"/>
      <x:c r="J74" s="2"/>
      <x:c r="K74" s="1"/>
      <x:c r="L74" s="1"/>
    </x:row>
    <x:row r="75" ht="21" customHeight="1">
      <x:c r="A75" s="1"/>
      <x:c r="B75" s="1"/>
      <x:c r="C75" s="1"/>
      <x:c r="D75" s="2"/>
      <x:c r="E75" s="2"/>
      <x:c r="F75" s="2"/>
      <x:c r="G75" s="2"/>
      <x:c r="H75" s="2"/>
      <x:c r="I75" s="2"/>
      <x:c r="J75" s="2"/>
      <x:c r="K75" s="1"/>
      <x:c r="L75" s="1"/>
    </x:row>
    <x:row r="76" ht="21" customHeight="1">
      <x:c r="A76" s="1"/>
      <x:c r="B76" s="1"/>
      <x:c r="C76" s="1"/>
      <x:c r="D76" s="2"/>
      <x:c r="E76" s="2"/>
      <x:c r="F76" s="2"/>
      <x:c r="G76" s="2"/>
      <x:c r="H76" s="2"/>
      <x:c r="I76" s="2"/>
      <x:c r="J76" s="2"/>
      <x:c r="K76" s="1"/>
      <x:c r="L76" s="1"/>
    </x:row>
    <x:row r="77" ht="21" customHeight="1">
      <x:c r="A77" s="1"/>
      <x:c r="B77" s="1"/>
      <x:c r="C77" s="1"/>
      <x:c r="D77" s="2"/>
      <x:c r="E77" s="2"/>
      <x:c r="F77" s="2"/>
      <x:c r="G77" s="2"/>
      <x:c r="H77" s="2"/>
      <x:c r="I77" s="2"/>
      <x:c r="J77" s="2"/>
      <x:c r="K77" s="1"/>
      <x:c r="L77" s="1"/>
    </x:row>
    <x:row r="78" ht="21" customHeight="1">
      <x:c r="A78" s="1"/>
      <x:c r="B78" s="1"/>
      <x:c r="C78" s="1"/>
      <x:c r="D78" s="2"/>
      <x:c r="E78" s="2"/>
      <x:c r="F78" s="2"/>
      <x:c r="G78" s="2"/>
      <x:c r="H78" s="2"/>
      <x:c r="I78" s="2"/>
      <x:c r="J78" s="2"/>
      <x:c r="K78" s="1"/>
      <x:c r="L78" s="1"/>
    </x:row>
    <x:row r="79" ht="21" customHeight="1">
      <x:c r="A79" s="1"/>
      <x:c r="B79" s="1"/>
      <x:c r="C79" s="1"/>
      <x:c r="D79" s="2"/>
      <x:c r="E79" s="2"/>
      <x:c r="F79" s="2"/>
      <x:c r="G79" s="2"/>
      <x:c r="H79" s="2"/>
      <x:c r="I79" s="2"/>
      <x:c r="J79" s="2"/>
      <x:c r="K79" s="1"/>
      <x:c r="L79" s="1"/>
    </x:row>
    <x:row r="80" ht="21" customHeight="1">
      <x:c r="A80" s="1"/>
      <x:c r="B80" s="1"/>
      <x:c r="C80" s="1"/>
      <x:c r="D80" s="2"/>
      <x:c r="E80" s="2"/>
      <x:c r="F80" s="2"/>
      <x:c r="G80" s="2"/>
      <x:c r="H80" s="2"/>
      <x:c r="I80" s="2"/>
      <x:c r="J80" s="2"/>
      <x:c r="K80" s="1"/>
      <x:c r="L80" s="1"/>
    </x:row>
    <x:row r="81" ht="21" customHeight="1">
      <x:c r="A81" s="1"/>
      <x:c r="B81" s="1"/>
      <x:c r="C81" s="1"/>
      <x:c r="D81" s="2"/>
      <x:c r="E81" s="2"/>
      <x:c r="F81" s="2"/>
      <x:c r="G81" s="2"/>
      <x:c r="H81" s="2"/>
      <x:c r="I81" s="2"/>
      <x:c r="J81" s="2"/>
      <x:c r="K81" s="1"/>
      <x:c r="L81" s="1"/>
    </x:row>
    <x:row r="82" ht="21" customHeight="1">
      <x:c r="A82" s="1"/>
      <x:c r="B82" s="1"/>
      <x:c r="C82" s="1"/>
      <x:c r="D82" s="2"/>
      <x:c r="E82" s="2"/>
      <x:c r="F82" s="2"/>
      <x:c r="G82" s="2"/>
      <x:c r="H82" s="2"/>
      <x:c r="I82" s="2"/>
      <x:c r="J82" s="2"/>
      <x:c r="K82" s="1"/>
      <x:c r="L82" s="1"/>
    </x:row>
    <x:row r="83" ht="21" customHeight="1">
      <x:c r="A83" s="1"/>
      <x:c r="B83" s="1"/>
      <x:c r="C83" s="1"/>
      <x:c r="D83" s="2"/>
      <x:c r="E83" s="2"/>
      <x:c r="F83" s="2"/>
      <x:c r="G83" s="2"/>
      <x:c r="H83" s="2"/>
      <x:c r="I83" s="2"/>
      <x:c r="J83" s="2"/>
      <x:c r="K83" s="1"/>
      <x:c r="L83" s="1"/>
    </x:row>
    <x:row r="84" ht="21" customHeight="1">
      <x:c r="A84" s="1"/>
      <x:c r="B84" s="1"/>
      <x:c r="C84" s="1"/>
      <x:c r="D84" s="2"/>
      <x:c r="E84" s="2"/>
      <x:c r="F84" s="2"/>
      <x:c r="G84" s="2"/>
      <x:c r="H84" s="2"/>
      <x:c r="I84" s="2"/>
      <x:c r="J84" s="2"/>
      <x:c r="K84" s="1"/>
      <x:c r="L84" s="1"/>
    </x:row>
    <x:row r="85" ht="21" customHeight="1">
      <x:c r="A85" s="1"/>
      <x:c r="B85" s="1"/>
      <x:c r="C85" s="1"/>
      <x:c r="D85" s="2"/>
      <x:c r="E85" s="2"/>
      <x:c r="F85" s="2"/>
      <x:c r="G85" s="2"/>
      <x:c r="H85" s="2"/>
      <x:c r="I85" s="2"/>
      <x:c r="J85" s="2"/>
      <x:c r="K85" s="1"/>
      <x:c r="L85" s="1"/>
    </x:row>
    <x:row r="86" ht="21" customHeight="1">
      <x:c r="A86" s="1"/>
      <x:c r="B86" s="1"/>
      <x:c r="C86" s="1"/>
      <x:c r="D86" s="2"/>
      <x:c r="E86" s="2"/>
      <x:c r="F86" s="2"/>
      <x:c r="G86" s="2"/>
      <x:c r="H86" s="2"/>
      <x:c r="I86" s="2"/>
      <x:c r="J86" s="2"/>
      <x:c r="K86" s="1"/>
      <x:c r="L86" s="1"/>
    </x:row>
    <x:row r="87" ht="21" customHeight="1">
      <x:c r="A87" s="1"/>
      <x:c r="B87" s="1"/>
      <x:c r="C87" s="1"/>
      <x:c r="D87" s="2"/>
      <x:c r="E87" s="2"/>
      <x:c r="F87" s="2"/>
      <x:c r="G87" s="2"/>
      <x:c r="H87" s="2"/>
      <x:c r="I87" s="2"/>
      <x:c r="J87" s="2"/>
      <x:c r="K87" s="1"/>
      <x:c r="L87" s="1"/>
    </x:row>
    <x:row r="88" ht="21" customHeight="1">
      <x:c r="A88" s="1"/>
      <x:c r="B88" s="1"/>
      <x:c r="C88" s="1"/>
      <x:c r="D88" s="2"/>
      <x:c r="E88" s="2"/>
      <x:c r="F88" s="2"/>
      <x:c r="G88" s="2"/>
      <x:c r="H88" s="2"/>
      <x:c r="I88" s="2"/>
      <x:c r="J88" s="2"/>
      <x:c r="K88" s="1"/>
      <x:c r="L88" s="1"/>
    </x:row>
    <x:row r="89" ht="21" customHeight="1">
      <x:c r="A89" s="1"/>
      <x:c r="B89" s="1"/>
      <x:c r="C89" s="1"/>
      <x:c r="D89" s="2"/>
      <x:c r="E89" s="2"/>
      <x:c r="F89" s="2"/>
      <x:c r="G89" s="2"/>
      <x:c r="H89" s="2"/>
      <x:c r="I89" s="2"/>
      <x:c r="J89" s="2"/>
      <x:c r="K89" s="1"/>
      <x:c r="L89" s="1"/>
    </x:row>
    <x:row r="90" ht="21" customHeight="1">
      <x:c r="A90" s="1"/>
      <x:c r="B90" s="1"/>
      <x:c r="C90" s="1"/>
      <x:c r="D90" s="2"/>
      <x:c r="E90" s="2"/>
      <x:c r="F90" s="2"/>
      <x:c r="G90" s="2"/>
      <x:c r="H90" s="2"/>
      <x:c r="I90" s="2"/>
      <x:c r="J90" s="2"/>
      <x:c r="K90" s="1"/>
      <x:c r="L90" s="1"/>
    </x:row>
    <x:row r="91" ht="21" customHeight="1">
      <x:c r="A91" s="1"/>
      <x:c r="B91" s="1"/>
      <x:c r="C91" s="1"/>
      <x:c r="D91" s="2"/>
      <x:c r="E91" s="2"/>
      <x:c r="F91" s="2"/>
      <x:c r="G91" s="2"/>
      <x:c r="H91" s="2"/>
      <x:c r="I91" s="2"/>
      <x:c r="J91" s="2"/>
      <x:c r="K91" s="1"/>
      <x:c r="L91" s="1"/>
    </x:row>
    <x:row r="92" ht="21" customHeight="1">
      <x:c r="A92" s="1"/>
      <x:c r="B92" s="1"/>
      <x:c r="C92" s="1"/>
      <x:c r="D92" s="2"/>
      <x:c r="E92" s="2"/>
      <x:c r="F92" s="2"/>
      <x:c r="G92" s="2"/>
      <x:c r="H92" s="2"/>
      <x:c r="I92" s="2"/>
      <x:c r="J92" s="2"/>
      <x:c r="K92" s="1"/>
      <x:c r="L92" s="1"/>
    </x:row>
    <x:row r="93" ht="21" customHeight="1">
      <x:c r="A93" s="1"/>
      <x:c r="B93" s="1"/>
      <x:c r="C93" s="1"/>
      <x:c r="D93" s="2"/>
      <x:c r="E93" s="2"/>
      <x:c r="F93" s="2"/>
      <x:c r="G93" s="2"/>
      <x:c r="H93" s="2"/>
      <x:c r="I93" s="2"/>
      <x:c r="J93" s="2"/>
      <x:c r="K93" s="1"/>
      <x:c r="L93" s="1"/>
    </x:row>
    <x:row r="94" ht="21" customHeight="1">
      <x:c r="A94" s="1"/>
      <x:c r="B94" s="1"/>
      <x:c r="C94" s="1"/>
      <x:c r="D94" s="2"/>
      <x:c r="E94" s="2"/>
      <x:c r="F94" s="2"/>
      <x:c r="G94" s="2"/>
      <x:c r="H94" s="2"/>
      <x:c r="I94" s="2"/>
      <x:c r="J94" s="2"/>
      <x:c r="K94" s="1"/>
      <x:c r="L94" s="1"/>
    </x:row>
    <x:row r="95" ht="21" customHeight="1">
      <x:c r="A95" s="1"/>
      <x:c r="B95" s="1"/>
      <x:c r="C95" s="1"/>
      <x:c r="D95" s="2"/>
      <x:c r="E95" s="2"/>
      <x:c r="F95" s="2"/>
      <x:c r="G95" s="2"/>
      <x:c r="H95" s="2"/>
      <x:c r="I95" s="2"/>
      <x:c r="J95" s="2"/>
      <x:c r="K95" s="1"/>
      <x:c r="L95" s="1"/>
    </x:row>
    <x:row r="96" ht="21" customHeight="1">
      <x:c r="A96" s="1"/>
      <x:c r="B96" s="1"/>
      <x:c r="C96" s="1"/>
      <x:c r="D96" s="2"/>
      <x:c r="E96" s="2"/>
      <x:c r="F96" s="2"/>
      <x:c r="G96" s="2"/>
      <x:c r="H96" s="2"/>
      <x:c r="I96" s="2"/>
      <x:c r="J96" s="2"/>
      <x:c r="K96" s="1"/>
      <x:c r="L96" s="1"/>
    </x:row>
    <x:row r="97" ht="21" customHeight="1">
      <x:c r="A97" s="1"/>
      <x:c r="B97" s="1"/>
      <x:c r="C97" s="1"/>
      <x:c r="D97" s="2"/>
      <x:c r="E97" s="2"/>
      <x:c r="F97" s="2"/>
      <x:c r="G97" s="2"/>
      <x:c r="H97" s="2"/>
      <x:c r="I97" s="2"/>
      <x:c r="J97" s="2"/>
      <x:c r="K97" s="1"/>
      <x:c r="L97" s="1"/>
    </x:row>
    <x:row r="98" ht="21" customHeight="1">
      <x:c r="A98" s="1"/>
      <x:c r="B98" s="1"/>
      <x:c r="C98" s="1"/>
      <x:c r="D98" s="2"/>
      <x:c r="E98" s="2"/>
      <x:c r="F98" s="2"/>
      <x:c r="G98" s="2"/>
      <x:c r="H98" s="2"/>
      <x:c r="I98" s="2"/>
      <x:c r="J98" s="2"/>
      <x:c r="K98" s="1"/>
      <x:c r="L98" s="1"/>
    </x:row>
    <x:row r="99" ht="21" customHeight="1">
      <x:c r="A99" s="1"/>
      <x:c r="B99" s="1"/>
      <x:c r="C99" s="1"/>
      <x:c r="D99" s="2"/>
      <x:c r="E99" s="2"/>
      <x:c r="F99" s="2"/>
      <x:c r="G99" s="2"/>
      <x:c r="H99" s="2"/>
      <x:c r="I99" s="2"/>
      <x:c r="J99" s="2"/>
      <x:c r="K99" s="1"/>
      <x:c r="L99" s="1"/>
    </x:row>
    <x:row r="100" ht="21" customHeight="1">
      <x:c r="A100" s="1"/>
      <x:c r="B100" s="1"/>
      <x:c r="C100" s="1"/>
      <x:c r="D100" s="2"/>
      <x:c r="E100" s="2"/>
      <x:c r="F100" s="2"/>
      <x:c r="G100" s="2"/>
      <x:c r="H100" s="2"/>
      <x:c r="I100" s="2"/>
      <x:c r="J100" s="2"/>
      <x:c r="K100" s="1"/>
      <x:c r="L100" s="1"/>
    </x:row>
    <x:row r="101" ht="21" customHeight="1">
      <x:c r="A101" s="1"/>
      <x:c r="B101" s="1"/>
      <x:c r="C101" s="1"/>
      <x:c r="D101" s="2"/>
      <x:c r="E101" s="2"/>
      <x:c r="F101" s="2"/>
      <x:c r="G101" s="2"/>
      <x:c r="H101" s="2"/>
      <x:c r="I101" s="2"/>
      <x:c r="J101" s="2"/>
      <x:c r="K101" s="1"/>
      <x:c r="L101" s="1"/>
    </x:row>
    <x:row r="102" ht="21" customHeight="1">
      <x:c r="A102" s="1"/>
      <x:c r="B102" s="1"/>
      <x:c r="C102" s="1"/>
      <x:c r="D102" s="2"/>
      <x:c r="E102" s="2"/>
      <x:c r="F102" s="2"/>
      <x:c r="G102" s="2"/>
      <x:c r="H102" s="2"/>
      <x:c r="I102" s="2"/>
      <x:c r="J102" s="2"/>
      <x:c r="K102" s="1"/>
      <x:c r="L102" s="1"/>
    </x:row>
    <x:row r="103" ht="21" customHeight="1">
      <x:c r="A103" s="1"/>
      <x:c r="B103" s="1"/>
      <x:c r="C103" s="1"/>
      <x:c r="D103" s="2"/>
      <x:c r="E103" s="2"/>
      <x:c r="F103" s="2"/>
      <x:c r="G103" s="2"/>
      <x:c r="H103" s="2"/>
      <x:c r="I103" s="2"/>
      <x:c r="J103" s="2"/>
      <x:c r="K103" s="1"/>
      <x:c r="L103" s="1"/>
    </x:row>
    <x:row r="104" ht="21" customHeight="1">
      <x:c r="A104" s="1"/>
      <x:c r="B104" s="1"/>
      <x:c r="C104" s="1"/>
      <x:c r="D104" s="2"/>
      <x:c r="E104" s="2"/>
      <x:c r="F104" s="2"/>
      <x:c r="G104" s="2"/>
      <x:c r="H104" s="2"/>
      <x:c r="I104" s="2"/>
      <x:c r="J104" s="2"/>
      <x:c r="K104" s="1"/>
      <x:c r="L104" s="1"/>
    </x:row>
    <x:row r="105" ht="21" customHeight="1">
      <x:c r="A105" s="1"/>
      <x:c r="B105" s="1"/>
      <x:c r="C105" s="1"/>
      <x:c r="D105" s="2"/>
      <x:c r="E105" s="2"/>
      <x:c r="F105" s="2"/>
      <x:c r="G105" s="2"/>
      <x:c r="H105" s="2"/>
      <x:c r="I105" s="2"/>
      <x:c r="J105" s="2"/>
      <x:c r="K105" s="1"/>
      <x:c r="L105" s="1"/>
    </x:row>
    <x:row r="106" ht="21" customHeight="1">
      <x:c r="A106" s="1"/>
      <x:c r="B106" s="1"/>
      <x:c r="C106" s="1"/>
      <x:c r="D106" s="2"/>
      <x:c r="E106" s="2"/>
      <x:c r="F106" s="2"/>
      <x:c r="G106" s="2"/>
      <x:c r="H106" s="2"/>
      <x:c r="I106" s="2"/>
      <x:c r="J106" s="2"/>
      <x:c r="K106" s="1"/>
      <x:c r="L106" s="1"/>
    </x:row>
    <x:row r="107" ht="21" customHeight="1">
      <x:c r="A107" s="1"/>
      <x:c r="B107" s="1"/>
      <x:c r="C107" s="1"/>
      <x:c r="D107" s="2"/>
      <x:c r="E107" s="2"/>
      <x:c r="F107" s="2"/>
      <x:c r="G107" s="2"/>
      <x:c r="H107" s="2"/>
      <x:c r="I107" s="2"/>
      <x:c r="J107" s="2"/>
      <x:c r="K107" s="1"/>
      <x:c r="L107" s="1"/>
    </x:row>
    <x:row r="108" ht="21" customHeight="1">
      <x:c r="A108" s="1"/>
      <x:c r="B108" s="1"/>
      <x:c r="C108" s="1"/>
      <x:c r="D108" s="2"/>
      <x:c r="E108" s="2"/>
      <x:c r="F108" s="2"/>
      <x:c r="G108" s="2"/>
      <x:c r="H108" s="2"/>
      <x:c r="I108" s="2"/>
      <x:c r="J108" s="2"/>
      <x:c r="K108" s="1"/>
      <x:c r="L108" s="1"/>
    </x:row>
    <x:row r="109" ht="21" customHeight="1">
      <x:c r="A109" s="1"/>
      <x:c r="B109" s="1"/>
      <x:c r="C109" s="1"/>
      <x:c r="D109" s="2"/>
      <x:c r="E109" s="2"/>
      <x:c r="F109" s="2"/>
      <x:c r="G109" s="2"/>
      <x:c r="H109" s="2"/>
      <x:c r="I109" s="2"/>
      <x:c r="J109" s="2"/>
      <x:c r="K109" s="1"/>
      <x:c r="L109" s="1"/>
    </x:row>
    <x:row r="110" ht="21" customHeight="1">
      <x:c r="A110" s="1"/>
      <x:c r="B110" s="1"/>
      <x:c r="C110" s="1"/>
      <x:c r="D110" s="2"/>
      <x:c r="E110" s="2"/>
      <x:c r="F110" s="2"/>
      <x:c r="G110" s="2"/>
      <x:c r="H110" s="2"/>
      <x:c r="I110" s="2"/>
      <x:c r="J110" s="2"/>
      <x:c r="K110" s="1"/>
      <x:c r="L110" s="1"/>
    </x:row>
    <x:row r="111" ht="21" customHeight="1">
      <x:c r="A111" s="1"/>
      <x:c r="B111" s="1"/>
      <x:c r="C111" s="1"/>
      <x:c r="D111" s="2"/>
      <x:c r="E111" s="2"/>
      <x:c r="F111" s="2"/>
      <x:c r="G111" s="2"/>
      <x:c r="H111" s="2"/>
      <x:c r="I111" s="2"/>
      <x:c r="J111" s="2"/>
      <x:c r="K111" s="1"/>
      <x:c r="L111" s="1"/>
    </x:row>
    <x:row r="112" ht="21" customHeight="1">
      <x:c r="A112" s="1"/>
      <x:c r="B112" s="1"/>
      <x:c r="C112" s="1"/>
      <x:c r="D112" s="2"/>
      <x:c r="E112" s="2"/>
      <x:c r="F112" s="2"/>
      <x:c r="G112" s="2"/>
      <x:c r="H112" s="2"/>
      <x:c r="I112" s="2"/>
      <x:c r="J112" s="2"/>
      <x:c r="K112" s="1"/>
      <x:c r="L112" s="1"/>
    </x:row>
    <x:row r="113" ht="21" customHeight="1">
      <x:c r="A113" s="1"/>
      <x:c r="B113" s="1"/>
      <x:c r="C113" s="1"/>
      <x:c r="D113" s="2"/>
      <x:c r="E113" s="2"/>
      <x:c r="F113" s="2"/>
      <x:c r="G113" s="2"/>
      <x:c r="H113" s="2"/>
      <x:c r="I113" s="2"/>
      <x:c r="J113" s="2"/>
      <x:c r="K113" s="1"/>
      <x:c r="L113" s="1"/>
    </x:row>
    <x:row r="114" ht="21" customHeight="1">
      <x:c r="A114" s="1"/>
      <x:c r="B114" s="1"/>
      <x:c r="C114" s="1"/>
      <x:c r="D114" s="2"/>
      <x:c r="E114" s="2"/>
      <x:c r="F114" s="2"/>
      <x:c r="G114" s="2"/>
      <x:c r="H114" s="2"/>
      <x:c r="I114" s="2"/>
      <x:c r="J114" s="2"/>
      <x:c r="K114" s="1"/>
      <x:c r="L114" s="1"/>
    </x:row>
    <x:row r="115" ht="21" customHeight="1">
      <x:c r="A115" s="1"/>
      <x:c r="B115" s="1"/>
      <x:c r="C115" s="1"/>
      <x:c r="D115" s="2"/>
      <x:c r="E115" s="2"/>
      <x:c r="F115" s="2"/>
      <x:c r="G115" s="2"/>
      <x:c r="H115" s="2"/>
      <x:c r="I115" s="2"/>
      <x:c r="J115" s="2"/>
      <x:c r="K115" s="1"/>
      <x:c r="L115" s="1"/>
    </x:row>
    <x:row r="116" ht="21" customHeight="1">
      <x:c r="A116" s="1"/>
      <x:c r="B116" s="1"/>
      <x:c r="C116" s="1"/>
      <x:c r="D116" s="2"/>
      <x:c r="E116" s="2"/>
      <x:c r="F116" s="2"/>
      <x:c r="G116" s="2"/>
      <x:c r="H116" s="2"/>
      <x:c r="I116" s="2"/>
      <x:c r="J116" s="2"/>
      <x:c r="K116" s="1"/>
      <x:c r="L116" s="1"/>
    </x:row>
    <x:row r="117" ht="21" customHeight="1">
      <x:c r="A117" s="1"/>
      <x:c r="B117" s="1"/>
      <x:c r="C117" s="1"/>
      <x:c r="D117" s="2"/>
      <x:c r="E117" s="2"/>
      <x:c r="F117" s="2"/>
      <x:c r="G117" s="2"/>
      <x:c r="H117" s="2"/>
      <x:c r="I117" s="2"/>
      <x:c r="J117" s="2"/>
      <x:c r="K117" s="1"/>
      <x:c r="L117" s="1"/>
    </x:row>
    <x:row r="118" ht="21" customHeight="1">
      <x:c r="A118" s="1"/>
      <x:c r="B118" s="1"/>
      <x:c r="C118" s="1"/>
      <x:c r="D118" s="2"/>
      <x:c r="E118" s="2"/>
      <x:c r="F118" s="2"/>
      <x:c r="G118" s="2"/>
      <x:c r="H118" s="2"/>
      <x:c r="I118" s="2"/>
      <x:c r="J118" s="2"/>
      <x:c r="K118" s="1"/>
      <x:c r="L118" s="1"/>
    </x:row>
    <x:row r="119" ht="21" customHeight="1">
      <x:c r="A119" s="1"/>
      <x:c r="B119" s="1"/>
      <x:c r="C119" s="1"/>
      <x:c r="D119" s="2"/>
      <x:c r="E119" s="2"/>
      <x:c r="F119" s="2"/>
      <x:c r="G119" s="2"/>
      <x:c r="H119" s="2"/>
      <x:c r="I119" s="2"/>
      <x:c r="J119" s="2"/>
      <x:c r="K119" s="1"/>
      <x:c r="L119" s="1"/>
    </x:row>
    <x:row r="120" ht="21" customHeight="1">
      <x:c r="A120" s="1"/>
      <x:c r="B120" s="1"/>
      <x:c r="C120" s="1"/>
      <x:c r="D120" s="2"/>
      <x:c r="E120" s="2"/>
      <x:c r="F120" s="2"/>
      <x:c r="G120" s="2"/>
      <x:c r="H120" s="2"/>
      <x:c r="I120" s="2"/>
      <x:c r="J120" s="2"/>
      <x:c r="K120" s="1"/>
      <x:c r="L120" s="1"/>
    </x:row>
    <x:row r="121" ht="21" customHeight="1">
      <x:c r="A121" s="1"/>
      <x:c r="B121" s="1"/>
      <x:c r="C121" s="1"/>
      <x:c r="D121" s="2"/>
      <x:c r="E121" s="2"/>
      <x:c r="F121" s="2"/>
      <x:c r="G121" s="2"/>
      <x:c r="H121" s="2"/>
      <x:c r="I121" s="2"/>
      <x:c r="J121" s="2"/>
      <x:c r="K121" s="1"/>
      <x:c r="L121" s="1"/>
    </x:row>
    <x:row r="122" ht="21" customHeight="1">
      <x:c r="A122" s="1"/>
      <x:c r="B122" s="1"/>
      <x:c r="C122" s="1"/>
      <x:c r="D122" s="2"/>
      <x:c r="E122" s="2"/>
      <x:c r="F122" s="2"/>
      <x:c r="G122" s="2"/>
      <x:c r="H122" s="2"/>
      <x:c r="I122" s="2"/>
      <x:c r="J122" s="2"/>
      <x:c r="K122" s="1"/>
      <x:c r="L122" s="1"/>
    </x:row>
    <x:row r="123" ht="21" customHeight="1">
      <x:c r="A123" s="1"/>
      <x:c r="B123" s="1"/>
      <x:c r="C123" s="1"/>
      <x:c r="D123" s="2"/>
      <x:c r="E123" s="2"/>
      <x:c r="F123" s="2"/>
      <x:c r="G123" s="2"/>
      <x:c r="H123" s="2"/>
      <x:c r="I123" s="2"/>
      <x:c r="J123" s="2"/>
      <x:c r="K123" s="1"/>
      <x:c r="L123" s="1"/>
    </x:row>
    <x:row r="124" ht="21" customHeight="1">
      <x:c r="A124" s="1"/>
      <x:c r="B124" s="1"/>
      <x:c r="C124" s="1"/>
      <x:c r="D124" s="2"/>
      <x:c r="E124" s="2"/>
      <x:c r="F124" s="2"/>
      <x:c r="G124" s="2"/>
      <x:c r="H124" s="2"/>
      <x:c r="I124" s="2"/>
      <x:c r="J124" s="2"/>
      <x:c r="K124" s="1"/>
      <x:c r="L124" s="1"/>
    </x:row>
    <x:row r="125" ht="21" customHeight="1">
      <x:c r="A125" s="1"/>
      <x:c r="B125" s="1"/>
      <x:c r="C125" s="1"/>
      <x:c r="D125" s="2"/>
      <x:c r="E125" s="2"/>
      <x:c r="F125" s="2"/>
      <x:c r="G125" s="2"/>
      <x:c r="H125" s="2"/>
      <x:c r="I125" s="2"/>
      <x:c r="J125" s="2"/>
      <x:c r="K125" s="1"/>
      <x:c r="L125" s="1"/>
    </x:row>
    <x:row r="126" ht="21" customHeight="1">
      <x:c r="A126" s="1"/>
      <x:c r="B126" s="1"/>
      <x:c r="C126" s="1"/>
      <x:c r="D126" s="2"/>
      <x:c r="E126" s="2"/>
      <x:c r="F126" s="2"/>
      <x:c r="G126" s="2"/>
      <x:c r="H126" s="2"/>
      <x:c r="I126" s="2"/>
      <x:c r="J126" s="2"/>
      <x:c r="K126" s="1"/>
      <x:c r="L126" s="1"/>
    </x:row>
    <x:row r="127" ht="21" customHeight="1">
      <x:c r="A127" s="1"/>
      <x:c r="B127" s="1"/>
      <x:c r="C127" s="1"/>
      <x:c r="D127" s="2"/>
      <x:c r="E127" s="2"/>
      <x:c r="F127" s="2"/>
      <x:c r="G127" s="2"/>
      <x:c r="H127" s="2"/>
      <x:c r="I127" s="2"/>
      <x:c r="J127" s="2"/>
      <x:c r="K127" s="1"/>
      <x:c r="L127" s="1"/>
    </x:row>
    <x:row r="128" ht="21" customHeight="1">
      <x:c r="A128" s="1"/>
      <x:c r="B128" s="1"/>
      <x:c r="C128" s="1"/>
      <x:c r="D128" s="2"/>
      <x:c r="E128" s="2"/>
      <x:c r="F128" s="2"/>
      <x:c r="G128" s="2"/>
      <x:c r="H128" s="2"/>
      <x:c r="I128" s="2"/>
      <x:c r="J128" s="2"/>
      <x:c r="K128" s="1"/>
      <x:c r="L128" s="1"/>
    </x:row>
    <x:row r="129" ht="21" customHeight="1">
      <x:c r="A129" s="1"/>
      <x:c r="B129" s="1"/>
      <x:c r="C129" s="1"/>
      <x:c r="D129" s="2"/>
      <x:c r="E129" s="2"/>
      <x:c r="F129" s="2"/>
      <x:c r="G129" s="2"/>
      <x:c r="H129" s="2"/>
      <x:c r="I129" s="2"/>
      <x:c r="J129" s="2"/>
      <x:c r="K129" s="1"/>
      <x:c r="L129" s="1"/>
    </x:row>
    <x:row r="130" ht="21" customHeight="1">
      <x:c r="A130" s="1"/>
      <x:c r="B130" s="1"/>
      <x:c r="C130" s="1"/>
      <x:c r="D130" s="2"/>
      <x:c r="E130" s="2"/>
      <x:c r="F130" s="2"/>
      <x:c r="G130" s="2"/>
      <x:c r="H130" s="2"/>
      <x:c r="I130" s="2"/>
      <x:c r="J130" s="2"/>
      <x:c r="K130" s="1"/>
      <x:c r="L130" s="1"/>
    </x:row>
    <x:row r="131" ht="21" customHeight="1">
      <x:c r="A131" s="1"/>
      <x:c r="B131" s="1"/>
      <x:c r="C131" s="1"/>
      <x:c r="D131" s="2"/>
      <x:c r="E131" s="2"/>
      <x:c r="F131" s="2"/>
      <x:c r="G131" s="2"/>
      <x:c r="H131" s="2"/>
      <x:c r="I131" s="2"/>
      <x:c r="J131" s="2"/>
      <x:c r="K131" s="1"/>
      <x:c r="L131" s="1"/>
    </x:row>
    <x:row r="132" ht="21" customHeight="1">
      <x:c r="A132" s="1"/>
      <x:c r="B132" s="1"/>
      <x:c r="C132" s="1"/>
      <x:c r="D132" s="2"/>
      <x:c r="E132" s="2"/>
      <x:c r="F132" s="2"/>
      <x:c r="G132" s="2"/>
      <x:c r="H132" s="2"/>
      <x:c r="I132" s="2"/>
      <x:c r="J132" s="2"/>
      <x:c r="K132" s="1"/>
      <x:c r="L132" s="1"/>
    </x:row>
    <x:row r="133" ht="21" customHeight="1">
      <x:c r="A133" s="1"/>
      <x:c r="B133" s="1"/>
      <x:c r="C133" s="1"/>
      <x:c r="D133" s="2"/>
      <x:c r="E133" s="2"/>
      <x:c r="F133" s="2"/>
      <x:c r="G133" s="2"/>
      <x:c r="H133" s="2"/>
      <x:c r="I133" s="2"/>
      <x:c r="J133" s="2"/>
      <x:c r="K133" s="1"/>
      <x:c r="L133" s="1"/>
    </x:row>
    <x:row r="134" ht="21" customHeight="1">
      <x:c r="A134" s="1"/>
      <x:c r="B134" s="1"/>
      <x:c r="C134" s="1"/>
      <x:c r="D134" s="2"/>
      <x:c r="E134" s="2"/>
      <x:c r="F134" s="2"/>
      <x:c r="G134" s="2"/>
      <x:c r="H134" s="2"/>
      <x:c r="I134" s="2"/>
      <x:c r="J134" s="2"/>
      <x:c r="K134" s="1"/>
      <x:c r="L134" s="1"/>
    </x:row>
    <x:row r="135" ht="21" customHeight="1">
      <x:c r="A135" s="1"/>
      <x:c r="B135" s="1"/>
      <x:c r="C135" s="1"/>
      <x:c r="D135" s="2"/>
      <x:c r="E135" s="2"/>
      <x:c r="F135" s="2"/>
      <x:c r="G135" s="2"/>
      <x:c r="H135" s="2"/>
      <x:c r="I135" s="2"/>
      <x:c r="J135" s="2"/>
      <x:c r="K135" s="1"/>
      <x:c r="L135" s="1"/>
    </x:row>
    <x:row r="136" ht="21" customHeight="1">
      <x:c r="A136" s="1"/>
      <x:c r="B136" s="1"/>
      <x:c r="C136" s="1"/>
      <x:c r="D136" s="2"/>
      <x:c r="E136" s="2"/>
      <x:c r="F136" s="2"/>
      <x:c r="G136" s="2"/>
      <x:c r="H136" s="2"/>
      <x:c r="I136" s="2"/>
      <x:c r="J136" s="2"/>
      <x:c r="K136" s="1"/>
      <x:c r="L136" s="1"/>
    </x:row>
    <x:row r="137" ht="21" customHeight="1">
      <x:c r="A137" s="1"/>
      <x:c r="B137" s="1"/>
      <x:c r="C137" s="1"/>
      <x:c r="D137" s="2"/>
      <x:c r="E137" s="2"/>
      <x:c r="F137" s="2"/>
      <x:c r="G137" s="2"/>
      <x:c r="H137" s="2"/>
      <x:c r="I137" s="2"/>
      <x:c r="J137" s="2"/>
      <x:c r="K137" s="1"/>
      <x:c r="L137" s="1"/>
    </x:row>
    <x:row r="138" ht="21" customHeight="1">
      <x:c r="A138" s="1"/>
      <x:c r="B138" s="1"/>
      <x:c r="C138" s="1"/>
      <x:c r="D138" s="2"/>
      <x:c r="E138" s="2"/>
      <x:c r="F138" s="2"/>
      <x:c r="G138" s="2"/>
      <x:c r="H138" s="2"/>
      <x:c r="I138" s="2"/>
      <x:c r="J138" s="2"/>
      <x:c r="K138" s="1"/>
      <x:c r="L138" s="1"/>
    </x:row>
    <x:row r="139" ht="21" customHeight="1">
      <x:c r="A139" s="1"/>
      <x:c r="B139" s="1"/>
      <x:c r="C139" s="1"/>
      <x:c r="D139" s="2"/>
      <x:c r="E139" s="2"/>
      <x:c r="F139" s="2"/>
      <x:c r="G139" s="2"/>
      <x:c r="H139" s="2"/>
      <x:c r="I139" s="2"/>
      <x:c r="J139" s="2"/>
      <x:c r="K139" s="1"/>
      <x:c r="L139" s="1"/>
    </x:row>
    <x:row r="140" ht="21" customHeight="1">
      <x:c r="A140" s="1"/>
      <x:c r="B140" s="1"/>
      <x:c r="C140" s="1"/>
      <x:c r="D140" s="2"/>
      <x:c r="E140" s="2"/>
      <x:c r="F140" s="2"/>
      <x:c r="G140" s="2"/>
      <x:c r="H140" s="2"/>
      <x:c r="I140" s="2"/>
      <x:c r="J140" s="2"/>
      <x:c r="K140" s="1"/>
      <x:c r="L140" s="1"/>
    </x:row>
    <x:row r="141" ht="21" customHeight="1">
      <x:c r="A141" s="1"/>
      <x:c r="B141" s="1"/>
      <x:c r="C141" s="1"/>
      <x:c r="D141" s="2"/>
      <x:c r="E141" s="2"/>
      <x:c r="F141" s="2"/>
      <x:c r="G141" s="2"/>
      <x:c r="H141" s="2"/>
      <x:c r="I141" s="2"/>
      <x:c r="J141" s="2"/>
      <x:c r="K141" s="1"/>
      <x:c r="L141" s="1"/>
    </x:row>
    <x:row r="142" ht="21" customHeight="1">
      <x:c r="A142" s="1"/>
      <x:c r="B142" s="1"/>
      <x:c r="C142" s="1"/>
      <x:c r="D142" s="2"/>
      <x:c r="E142" s="2"/>
      <x:c r="F142" s="2"/>
      <x:c r="G142" s="2"/>
      <x:c r="H142" s="2"/>
      <x:c r="I142" s="2"/>
      <x:c r="J142" s="2"/>
      <x:c r="K142" s="1"/>
      <x:c r="L142" s="1"/>
    </x:row>
    <x:row r="143" ht="21" customHeight="1">
      <x:c r="A143" s="1"/>
      <x:c r="B143" s="1"/>
      <x:c r="C143" s="1"/>
      <x:c r="D143" s="2"/>
      <x:c r="E143" s="2"/>
      <x:c r="F143" s="2"/>
      <x:c r="G143" s="2"/>
      <x:c r="H143" s="2"/>
      <x:c r="I143" s="2"/>
      <x:c r="J143" s="2"/>
      <x:c r="K143" s="1"/>
      <x:c r="L143" s="1"/>
    </x:row>
    <x:row r="144" ht="21" customHeight="1">
      <x:c r="A144" s="1"/>
      <x:c r="B144" s="1"/>
      <x:c r="C144" s="1"/>
      <x:c r="D144" s="2"/>
      <x:c r="E144" s="2"/>
      <x:c r="F144" s="2"/>
      <x:c r="G144" s="2"/>
      <x:c r="H144" s="2"/>
      <x:c r="I144" s="2"/>
      <x:c r="J144" s="2"/>
      <x:c r="K144" s="1"/>
      <x:c r="L144" s="1"/>
    </x:row>
    <x:row r="145" ht="21" customHeight="1">
      <x:c r="A145" s="1"/>
      <x:c r="B145" s="1"/>
      <x:c r="C145" s="1"/>
      <x:c r="D145" s="2"/>
      <x:c r="E145" s="2"/>
      <x:c r="F145" s="2"/>
      <x:c r="G145" s="2"/>
      <x:c r="H145" s="2"/>
      <x:c r="I145" s="2"/>
      <x:c r="J145" s="2"/>
      <x:c r="K145" s="1"/>
      <x:c r="L145" s="1"/>
    </x:row>
    <x:row r="146" ht="21" customHeight="1">
      <x:c r="A146" s="1"/>
      <x:c r="B146" s="1"/>
      <x:c r="C146" s="1"/>
      <x:c r="D146" s="2"/>
      <x:c r="E146" s="2"/>
      <x:c r="F146" s="2"/>
      <x:c r="G146" s="2"/>
      <x:c r="H146" s="2"/>
      <x:c r="I146" s="2"/>
      <x:c r="J146" s="2"/>
      <x:c r="K146" s="1"/>
      <x:c r="L146" s="1"/>
    </x:row>
    <x:row r="147" ht="21" customHeight="1">
      <x:c r="A147" s="1"/>
      <x:c r="B147" s="1"/>
      <x:c r="C147" s="1"/>
      <x:c r="D147" s="2"/>
      <x:c r="E147" s="2"/>
      <x:c r="F147" s="2"/>
      <x:c r="G147" s="2"/>
      <x:c r="H147" s="2"/>
      <x:c r="I147" s="2"/>
      <x:c r="J147" s="2"/>
      <x:c r="K147" s="1"/>
      <x:c r="L147" s="1"/>
    </x:row>
    <x:row r="148" ht="21" customHeight="1">
      <x:c r="A148" s="1"/>
      <x:c r="B148" s="1"/>
      <x:c r="C148" s="1"/>
      <x:c r="D148" s="2"/>
      <x:c r="E148" s="2"/>
      <x:c r="F148" s="2"/>
      <x:c r="G148" s="2"/>
      <x:c r="H148" s="2"/>
      <x:c r="I148" s="2"/>
      <x:c r="J148" s="2"/>
      <x:c r="K148" s="1"/>
      <x:c r="L148" s="1"/>
    </x:row>
    <x:row r="149" ht="21" customHeight="1">
      <x:c r="A149" s="1"/>
      <x:c r="B149" s="1"/>
      <x:c r="C149" s="1"/>
      <x:c r="D149" s="2"/>
      <x:c r="E149" s="2"/>
      <x:c r="F149" s="2"/>
      <x:c r="G149" s="2"/>
      <x:c r="H149" s="2"/>
      <x:c r="I149" s="2"/>
      <x:c r="J149" s="2"/>
      <x:c r="K149" s="1"/>
      <x:c r="L149" s="1"/>
    </x:row>
    <x:row r="150" ht="21" customHeight="1">
      <x:c r="A150" s="1"/>
      <x:c r="B150" s="1"/>
      <x:c r="C150" s="1"/>
      <x:c r="D150" s="2"/>
      <x:c r="E150" s="2"/>
      <x:c r="F150" s="2"/>
      <x:c r="G150" s="2"/>
      <x:c r="H150" s="2"/>
      <x:c r="I150" s="2"/>
      <x:c r="J150" s="2"/>
      <x:c r="K150" s="1"/>
      <x:c r="L150" s="1"/>
    </x:row>
    <x:row r="151" ht="21" customHeight="1">
      <x:c r="A151" s="1"/>
      <x:c r="B151" s="1"/>
      <x:c r="C151" s="1"/>
      <x:c r="D151" s="2"/>
      <x:c r="E151" s="2"/>
      <x:c r="F151" s="2"/>
      <x:c r="G151" s="2"/>
      <x:c r="H151" s="2"/>
      <x:c r="I151" s="2"/>
      <x:c r="J151" s="2"/>
      <x:c r="K151" s="1"/>
      <x:c r="L151" s="1"/>
    </x:row>
    <x:row r="152" ht="21" customHeight="1">
      <x:c r="A152" s="1"/>
      <x:c r="B152" s="1"/>
      <x:c r="C152" s="1"/>
      <x:c r="D152" s="2"/>
      <x:c r="E152" s="2"/>
      <x:c r="F152" s="2"/>
      <x:c r="G152" s="2"/>
      <x:c r="H152" s="2"/>
      <x:c r="I152" s="2"/>
      <x:c r="J152" s="2"/>
      <x:c r="K152" s="1"/>
      <x:c r="L152" s="1"/>
    </x:row>
    <x:row r="153" ht="21" customHeight="1">
      <x:c r="A153" s="1"/>
      <x:c r="B153" s="1"/>
      <x:c r="C153" s="1"/>
      <x:c r="D153" s="2"/>
      <x:c r="E153" s="2"/>
      <x:c r="F153" s="2"/>
      <x:c r="G153" s="2"/>
      <x:c r="H153" s="2"/>
      <x:c r="I153" s="2"/>
      <x:c r="J153" s="2"/>
      <x:c r="K153" s="1"/>
      <x:c r="L153" s="1"/>
    </x:row>
    <x:row r="154" ht="21" customHeight="1">
      <x:c r="A154" s="1"/>
      <x:c r="B154" s="1"/>
      <x:c r="C154" s="1"/>
      <x:c r="D154" s="2"/>
      <x:c r="E154" s="2"/>
      <x:c r="F154" s="2"/>
      <x:c r="G154" s="2"/>
      <x:c r="H154" s="2"/>
      <x:c r="I154" s="2"/>
      <x:c r="J154" s="2"/>
      <x:c r="K154" s="1"/>
      <x:c r="L154" s="1"/>
    </x:row>
    <x:row r="155" ht="21" customHeight="1">
      <x:c r="A155" s="1"/>
      <x:c r="B155" s="1"/>
      <x:c r="C155" s="1"/>
      <x:c r="D155" s="2"/>
      <x:c r="E155" s="2"/>
      <x:c r="F155" s="2"/>
      <x:c r="G155" s="2"/>
      <x:c r="H155" s="2"/>
      <x:c r="I155" s="2"/>
      <x:c r="J155" s="2"/>
      <x:c r="K155" s="1"/>
      <x:c r="L155" s="1"/>
    </x:row>
    <x:row r="156" ht="21" customHeight="1">
      <x:c r="A156" s="1"/>
      <x:c r="B156" s="1"/>
      <x:c r="C156" s="1"/>
      <x:c r="D156" s="2"/>
      <x:c r="E156" s="2"/>
      <x:c r="F156" s="2"/>
      <x:c r="G156" s="2"/>
      <x:c r="H156" s="2"/>
      <x:c r="I156" s="2"/>
      <x:c r="J156" s="2"/>
      <x:c r="K156" s="1"/>
      <x:c r="L156" s="1"/>
    </x:row>
    <x:row r="157" ht="21" customHeight="1">
      <x:c r="A157" s="1"/>
      <x:c r="B157" s="1"/>
      <x:c r="C157" s="1"/>
      <x:c r="D157" s="2"/>
      <x:c r="E157" s="2"/>
      <x:c r="F157" s="2"/>
      <x:c r="G157" s="2"/>
      <x:c r="H157" s="2"/>
      <x:c r="I157" s="2"/>
      <x:c r="J157" s="2"/>
      <x:c r="K157" s="1"/>
      <x:c r="L157" s="1"/>
    </x:row>
    <x:row r="158" ht="21" customHeight="1">
      <x:c r="A158" s="1"/>
      <x:c r="B158" s="1"/>
      <x:c r="C158" s="1"/>
      <x:c r="D158" s="2"/>
      <x:c r="E158" s="2"/>
      <x:c r="F158" s="2"/>
      <x:c r="G158" s="2"/>
      <x:c r="H158" s="2"/>
      <x:c r="I158" s="2"/>
      <x:c r="J158" s="2"/>
      <x:c r="K158" s="1"/>
      <x:c r="L158" s="1"/>
    </x:row>
    <x:row r="159" ht="21" customHeight="1">
      <x:c r="A159" s="1"/>
      <x:c r="B159" s="1"/>
      <x:c r="C159" s="1"/>
      <x:c r="D159" s="2"/>
      <x:c r="E159" s="2"/>
      <x:c r="F159" s="2"/>
      <x:c r="G159" s="2"/>
      <x:c r="H159" s="2"/>
      <x:c r="I159" s="2"/>
      <x:c r="J159" s="2"/>
      <x:c r="K159" s="1"/>
      <x:c r="L159" s="1"/>
    </x:row>
    <x:row r="160" ht="21" customHeight="1">
      <x:c r="A160" s="1"/>
      <x:c r="B160" s="1"/>
      <x:c r="C160" s="1"/>
      <x:c r="D160" s="2"/>
      <x:c r="E160" s="2"/>
      <x:c r="F160" s="2"/>
      <x:c r="G160" s="2"/>
      <x:c r="H160" s="2"/>
      <x:c r="I160" s="2"/>
      <x:c r="J160" s="2"/>
      <x:c r="K160" s="1"/>
      <x:c r="L160" s="1"/>
    </x:row>
    <x:row r="161" ht="21" customHeight="1">
      <x:c r="A161" s="1"/>
      <x:c r="B161" s="1"/>
      <x:c r="C161" s="1"/>
      <x:c r="D161" s="2"/>
      <x:c r="E161" s="2"/>
      <x:c r="F161" s="2"/>
      <x:c r="G161" s="2"/>
      <x:c r="H161" s="2"/>
      <x:c r="I161" s="2"/>
      <x:c r="J161" s="2"/>
      <x:c r="K161" s="1"/>
      <x:c r="L161" s="1"/>
    </x:row>
    <x:row r="162" ht="21" customHeight="1">
      <x:c r="A162" s="1"/>
      <x:c r="B162" s="1"/>
      <x:c r="C162" s="1"/>
      <x:c r="D162" s="2"/>
      <x:c r="E162" s="2"/>
      <x:c r="F162" s="2"/>
      <x:c r="G162" s="2"/>
      <x:c r="H162" s="2"/>
      <x:c r="I162" s="2"/>
      <x:c r="J162" s="2"/>
      <x:c r="K162" s="1"/>
      <x:c r="L162" s="1"/>
    </x:row>
    <x:row r="163" ht="21" customHeight="1">
      <x:c r="A163" s="1"/>
      <x:c r="B163" s="1"/>
      <x:c r="C163" s="1"/>
      <x:c r="D163" s="2"/>
      <x:c r="E163" s="2"/>
      <x:c r="F163" s="2"/>
      <x:c r="G163" s="2"/>
      <x:c r="H163" s="2"/>
      <x:c r="I163" s="2"/>
      <x:c r="J163" s="2"/>
      <x:c r="K163" s="1"/>
      <x:c r="L163" s="1"/>
    </x:row>
    <x:row r="164" ht="21" customHeight="1">
      <x:c r="A164" s="1"/>
      <x:c r="B164" s="1"/>
      <x:c r="C164" s="1"/>
      <x:c r="D164" s="2"/>
      <x:c r="E164" s="2"/>
      <x:c r="F164" s="2"/>
      <x:c r="G164" s="2"/>
      <x:c r="H164" s="2"/>
      <x:c r="I164" s="2"/>
      <x:c r="J164" s="2"/>
      <x:c r="K164" s="1"/>
      <x:c r="L164" s="1"/>
    </x:row>
    <x:row r="165" ht="21" customHeight="1">
      <x:c r="A165" s="1"/>
      <x:c r="B165" s="1"/>
      <x:c r="C165" s="1"/>
      <x:c r="D165" s="2"/>
      <x:c r="E165" s="2"/>
      <x:c r="F165" s="2"/>
      <x:c r="G165" s="2"/>
      <x:c r="H165" s="2"/>
      <x:c r="I165" s="2"/>
      <x:c r="J165" s="2"/>
      <x:c r="K165" s="1"/>
      <x:c r="L165" s="1"/>
    </x:row>
    <x:row r="166" ht="21" customHeight="1">
      <x:c r="A166" s="1"/>
      <x:c r="B166" s="1"/>
      <x:c r="C166" s="1"/>
      <x:c r="D166" s="2"/>
      <x:c r="E166" s="2"/>
      <x:c r="F166" s="2"/>
      <x:c r="G166" s="2"/>
      <x:c r="H166" s="2"/>
      <x:c r="I166" s="2"/>
      <x:c r="J166" s="2"/>
      <x:c r="K166" s="1"/>
      <x:c r="L166" s="1"/>
    </x:row>
    <x:row r="167" ht="21" customHeight="1">
      <x:c r="A167" s="1"/>
      <x:c r="B167" s="1"/>
      <x:c r="C167" s="1"/>
      <x:c r="D167" s="2"/>
      <x:c r="E167" s="2"/>
      <x:c r="F167" s="2"/>
      <x:c r="G167" s="2"/>
      <x:c r="H167" s="2"/>
      <x:c r="I167" s="2"/>
      <x:c r="J167" s="2"/>
      <x:c r="K167" s="1"/>
      <x:c r="L167" s="1"/>
    </x:row>
    <x:row r="168" ht="21" customHeight="1">
      <x:c r="A168" s="1"/>
      <x:c r="B168" s="1"/>
      <x:c r="C168" s="1"/>
      <x:c r="D168" s="2"/>
      <x:c r="E168" s="2"/>
      <x:c r="F168" s="2"/>
      <x:c r="G168" s="2"/>
      <x:c r="H168" s="2"/>
      <x:c r="I168" s="2"/>
      <x:c r="J168" s="2"/>
      <x:c r="K168" s="1"/>
      <x:c r="L168" s="1"/>
    </x:row>
    <x:row r="169" ht="21" customHeight="1">
      <x:c r="A169" s="1"/>
      <x:c r="B169" s="1"/>
      <x:c r="C169" s="1"/>
      <x:c r="D169" s="2"/>
      <x:c r="E169" s="2"/>
      <x:c r="F169" s="2"/>
      <x:c r="G169" s="2"/>
      <x:c r="H169" s="2"/>
      <x:c r="I169" s="2"/>
      <x:c r="J169" s="2"/>
      <x:c r="K169" s="1"/>
      <x:c r="L169" s="1"/>
    </x:row>
    <x:row r="170" ht="21" customHeight="1">
      <x:c r="A170" s="1"/>
      <x:c r="B170" s="1"/>
      <x:c r="C170" s="1"/>
      <x:c r="D170" s="2"/>
      <x:c r="E170" s="2"/>
      <x:c r="F170" s="2"/>
      <x:c r="G170" s="2"/>
      <x:c r="H170" s="2"/>
      <x:c r="I170" s="2"/>
      <x:c r="J170" s="2"/>
      <x:c r="K170" s="1"/>
      <x:c r="L170" s="1"/>
    </x:row>
    <x:row r="171" ht="21" customHeight="1">
      <x:c r="A171" s="1"/>
      <x:c r="B171" s="1"/>
      <x:c r="C171" s="1"/>
      <x:c r="D171" s="2"/>
      <x:c r="E171" s="2"/>
      <x:c r="F171" s="2"/>
      <x:c r="G171" s="2"/>
      <x:c r="H171" s="2"/>
      <x:c r="I171" s="2"/>
      <x:c r="J171" s="2"/>
      <x:c r="K171" s="1"/>
      <x:c r="L171" s="1"/>
    </x:row>
    <x:row r="172" ht="21" customHeight="1">
      <x:c r="A172" s="1"/>
      <x:c r="B172" s="1"/>
      <x:c r="C172" s="1"/>
      <x:c r="D172" s="2"/>
      <x:c r="E172" s="2"/>
      <x:c r="F172" s="2"/>
      <x:c r="G172" s="2"/>
      <x:c r="H172" s="2"/>
      <x:c r="I172" s="2"/>
      <x:c r="J172" s="2"/>
      <x:c r="K172" s="1"/>
      <x:c r="L172" s="1"/>
    </x:row>
    <x:row r="173" ht="21" customHeight="1">
      <x:c r="A173" s="1"/>
      <x:c r="B173" s="1"/>
      <x:c r="C173" s="1"/>
      <x:c r="D173" s="2"/>
      <x:c r="E173" s="2"/>
      <x:c r="F173" s="2"/>
      <x:c r="G173" s="2"/>
      <x:c r="H173" s="2"/>
      <x:c r="I173" s="2"/>
      <x:c r="J173" s="2"/>
      <x:c r="K173" s="1"/>
      <x:c r="L173" s="1"/>
    </x:row>
    <x:row r="174" ht="21" customHeight="1">
      <x:c r="A174" s="1"/>
      <x:c r="B174" s="1"/>
      <x:c r="C174" s="1"/>
      <x:c r="D174" s="2"/>
      <x:c r="E174" s="2"/>
      <x:c r="F174" s="2"/>
      <x:c r="G174" s="2"/>
      <x:c r="H174" s="2"/>
      <x:c r="I174" s="2"/>
      <x:c r="J174" s="2"/>
      <x:c r="K174" s="1"/>
      <x:c r="L174" s="1"/>
    </x:row>
    <x:row r="175" ht="21" customHeight="1">
      <x:c r="A175" s="1"/>
      <x:c r="B175" s="1"/>
      <x:c r="C175" s="1"/>
      <x:c r="D175" s="2"/>
      <x:c r="E175" s="2"/>
      <x:c r="F175" s="2"/>
      <x:c r="G175" s="2"/>
      <x:c r="H175" s="2"/>
      <x:c r="I175" s="2"/>
      <x:c r="J175" s="2"/>
      <x:c r="K175" s="1"/>
      <x:c r="L175" s="1"/>
    </x:row>
    <x:row r="176" ht="21" customHeight="1">
      <x:c r="A176" s="1"/>
      <x:c r="B176" s="1"/>
      <x:c r="C176" s="1"/>
      <x:c r="D176" s="2"/>
      <x:c r="E176" s="2"/>
      <x:c r="F176" s="2"/>
      <x:c r="G176" s="2"/>
      <x:c r="H176" s="2"/>
      <x:c r="I176" s="2"/>
      <x:c r="J176" s="2"/>
      <x:c r="K176" s="1"/>
      <x:c r="L176" s="1"/>
    </x:row>
    <x:row r="177" ht="21" customHeight="1">
      <x:c r="A177" s="1"/>
      <x:c r="B177" s="1"/>
      <x:c r="C177" s="1"/>
      <x:c r="D177" s="2"/>
      <x:c r="E177" s="2"/>
      <x:c r="F177" s="2"/>
      <x:c r="G177" s="2"/>
      <x:c r="H177" s="2"/>
      <x:c r="I177" s="2"/>
      <x:c r="J177" s="2"/>
      <x:c r="K177" s="1"/>
      <x:c r="L177" s="1"/>
    </x:row>
    <x:row r="178" ht="21" customHeight="1">
      <x:c r="A178" s="1"/>
      <x:c r="B178" s="1"/>
      <x:c r="C178" s="1"/>
      <x:c r="D178" s="2"/>
      <x:c r="E178" s="2"/>
      <x:c r="F178" s="2"/>
      <x:c r="G178" s="2"/>
      <x:c r="H178" s="2"/>
      <x:c r="I178" s="2"/>
      <x:c r="J178" s="2"/>
      <x:c r="K178" s="1"/>
      <x:c r="L178" s="1"/>
    </x:row>
    <x:row r="179" ht="21" customHeight="1">
      <x:c r="A179" s="1"/>
      <x:c r="B179" s="1"/>
      <x:c r="C179" s="1"/>
      <x:c r="D179" s="2"/>
      <x:c r="E179" s="2"/>
      <x:c r="F179" s="2"/>
      <x:c r="G179" s="2"/>
      <x:c r="H179" s="2"/>
      <x:c r="I179" s="2"/>
      <x:c r="J179" s="2"/>
      <x:c r="K179" s="1"/>
      <x:c r="L179" s="1"/>
    </x:row>
    <x:row r="180" ht="21" customHeight="1">
      <x:c r="A180" s="1"/>
      <x:c r="B180" s="1"/>
      <x:c r="C180" s="1"/>
      <x:c r="D180" s="2"/>
      <x:c r="E180" s="2"/>
      <x:c r="F180" s="2"/>
      <x:c r="G180" s="2"/>
      <x:c r="H180" s="2"/>
      <x:c r="I180" s="2"/>
      <x:c r="J180" s="2"/>
      <x:c r="K180" s="1"/>
      <x:c r="L180" s="1"/>
    </x:row>
    <x:row r="181" ht="21" customHeight="1">
      <x:c r="A181" s="1"/>
      <x:c r="B181" s="1"/>
      <x:c r="C181" s="1"/>
      <x:c r="D181" s="2"/>
      <x:c r="E181" s="2"/>
      <x:c r="F181" s="2"/>
      <x:c r="G181" s="2"/>
      <x:c r="H181" s="2"/>
      <x:c r="I181" s="2"/>
      <x:c r="J181" s="2"/>
      <x:c r="K181" s="1"/>
      <x:c r="L181" s="1"/>
    </x:row>
    <x:row r="182" ht="21" customHeight="1">
      <x:c r="A182" s="1"/>
      <x:c r="B182" s="1"/>
      <x:c r="C182" s="1"/>
      <x:c r="D182" s="2"/>
      <x:c r="E182" s="2"/>
      <x:c r="F182" s="2"/>
      <x:c r="G182" s="2"/>
      <x:c r="H182" s="2"/>
      <x:c r="I182" s="2"/>
      <x:c r="J182" s="2"/>
      <x:c r="K182" s="1"/>
      <x:c r="L182" s="1"/>
    </x:row>
    <x:row r="183" ht="21" customHeight="1">
      <x:c r="A183" s="1"/>
      <x:c r="B183" s="1"/>
      <x:c r="C183" s="1"/>
      <x:c r="D183" s="2"/>
      <x:c r="E183" s="2"/>
      <x:c r="F183" s="2"/>
      <x:c r="G183" s="2"/>
      <x:c r="H183" s="2"/>
      <x:c r="I183" s="2"/>
      <x:c r="J183" s="2"/>
      <x:c r="K183" s="1"/>
      <x:c r="L183" s="1"/>
    </x:row>
    <x:row r="184" ht="21" customHeight="1">
      <x:c r="A184" s="1"/>
      <x:c r="B184" s="1"/>
      <x:c r="C184" s="1"/>
      <x:c r="D184" s="2"/>
      <x:c r="E184" s="2"/>
      <x:c r="F184" s="2"/>
      <x:c r="G184" s="2"/>
      <x:c r="H184" s="2"/>
      <x:c r="I184" s="2"/>
      <x:c r="J184" s="2"/>
      <x:c r="K184" s="1"/>
      <x:c r="L184" s="1"/>
    </x:row>
    <x:row r="185" ht="21" customHeight="1">
      <x:c r="A185" s="1"/>
      <x:c r="B185" s="1"/>
      <x:c r="C185" s="1"/>
      <x:c r="D185" s="2"/>
      <x:c r="E185" s="2"/>
      <x:c r="F185" s="2"/>
      <x:c r="G185" s="2"/>
      <x:c r="H185" s="2"/>
      <x:c r="I185" s="2"/>
      <x:c r="J185" s="2"/>
      <x:c r="K185" s="1"/>
      <x:c r="L185" s="1"/>
    </x:row>
    <x:row r="186" ht="21" customHeight="1">
      <x:c r="A186" s="1"/>
      <x:c r="B186" s="1"/>
      <x:c r="C186" s="1"/>
      <x:c r="D186" s="2"/>
      <x:c r="E186" s="2"/>
      <x:c r="F186" s="2"/>
      <x:c r="G186" s="2"/>
      <x:c r="H186" s="2"/>
      <x:c r="I186" s="2"/>
      <x:c r="J186" s="2"/>
      <x:c r="K186" s="1"/>
      <x:c r="L186" s="1"/>
    </x:row>
    <x:row r="187" ht="21" customHeight="1">
      <x:c r="A187" s="1"/>
      <x:c r="B187" s="1"/>
      <x:c r="C187" s="1"/>
      <x:c r="D187" s="2"/>
      <x:c r="E187" s="2"/>
      <x:c r="F187" s="2"/>
      <x:c r="G187" s="2"/>
      <x:c r="H187" s="2"/>
      <x:c r="I187" s="2"/>
      <x:c r="J187" s="2"/>
      <x:c r="K187" s="1"/>
      <x:c r="L187" s="1"/>
    </x:row>
    <x:row r="188" ht="21" customHeight="1">
      <x:c r="A188" s="1"/>
      <x:c r="B188" s="1"/>
      <x:c r="C188" s="1"/>
      <x:c r="D188" s="2"/>
      <x:c r="E188" s="2"/>
      <x:c r="F188" s="2"/>
      <x:c r="G188" s="2"/>
      <x:c r="H188" s="2"/>
      <x:c r="I188" s="2"/>
      <x:c r="J188" s="2"/>
      <x:c r="K188" s="1"/>
      <x:c r="L188" s="1"/>
    </x:row>
    <x:row r="189" ht="21" customHeight="1">
      <x:c r="A189" s="1"/>
      <x:c r="B189" s="1"/>
      <x:c r="C189" s="1"/>
      <x:c r="D189" s="2"/>
      <x:c r="E189" s="2"/>
      <x:c r="F189" s="2"/>
      <x:c r="G189" s="2"/>
      <x:c r="H189" s="2"/>
      <x:c r="I189" s="2"/>
      <x:c r="J189" s="2"/>
      <x:c r="K189" s="1"/>
      <x:c r="L189" s="1"/>
    </x:row>
    <x:row r="190" ht="21" customHeight="1">
      <x:c r="A190" s="1"/>
      <x:c r="B190" s="1"/>
      <x:c r="C190" s="1"/>
      <x:c r="D190" s="2"/>
      <x:c r="E190" s="2"/>
      <x:c r="F190" s="2"/>
      <x:c r="G190" s="2"/>
      <x:c r="H190" s="2"/>
      <x:c r="I190" s="2"/>
      <x:c r="J190" s="2"/>
      <x:c r="K190" s="1"/>
      <x:c r="L190" s="1"/>
    </x:row>
    <x:row r="191" ht="21" customHeight="1">
      <x:c r="A191" s="1"/>
      <x:c r="B191" s="1"/>
      <x:c r="C191" s="1"/>
      <x:c r="D191" s="2"/>
      <x:c r="E191" s="2"/>
      <x:c r="F191" s="2"/>
      <x:c r="G191" s="2"/>
      <x:c r="H191" s="2"/>
      <x:c r="I191" s="2"/>
      <x:c r="J191" s="2"/>
      <x:c r="K191" s="1"/>
      <x:c r="L191" s="1"/>
    </x:row>
    <x:row r="192" ht="21" customHeight="1">
      <x:c r="A192" s="1"/>
      <x:c r="B192" s="1"/>
      <x:c r="C192" s="1"/>
      <x:c r="D192" s="2"/>
      <x:c r="E192" s="2"/>
      <x:c r="F192" s="2"/>
      <x:c r="G192" s="2"/>
      <x:c r="H192" s="2"/>
      <x:c r="I192" s="2"/>
      <x:c r="J192" s="2"/>
      <x:c r="K192" s="1"/>
      <x:c r="L192" s="1"/>
    </x:row>
    <x:row r="193" ht="21" customHeight="1">
      <x:c r="A193" s="1"/>
      <x:c r="B193" s="1"/>
      <x:c r="C193" s="1"/>
      <x:c r="D193" s="2"/>
      <x:c r="E193" s="2"/>
      <x:c r="F193" s="2"/>
      <x:c r="G193" s="2"/>
      <x:c r="H193" s="2"/>
      <x:c r="I193" s="2"/>
      <x:c r="J193" s="2"/>
      <x:c r="K193" s="1"/>
      <x:c r="L193" s="1"/>
    </x:row>
    <x:row r="194" ht="21" customHeight="1">
      <x:c r="A194" s="1"/>
      <x:c r="B194" s="1"/>
      <x:c r="C194" s="1"/>
      <x:c r="D194" s="2"/>
      <x:c r="E194" s="2"/>
      <x:c r="F194" s="2"/>
      <x:c r="G194" s="2"/>
      <x:c r="H194" s="2"/>
      <x:c r="I194" s="2"/>
      <x:c r="J194" s="2"/>
      <x:c r="K194" s="1"/>
      <x:c r="L194" s="1"/>
    </x:row>
    <x:row r="195" ht="21" customHeight="1">
      <x:c r="A195" s="1"/>
      <x:c r="B195" s="1"/>
      <x:c r="C195" s="1"/>
      <x:c r="D195" s="2"/>
      <x:c r="E195" s="2"/>
      <x:c r="F195" s="2"/>
      <x:c r="G195" s="2"/>
      <x:c r="H195" s="2"/>
      <x:c r="I195" s="2"/>
      <x:c r="J195" s="2"/>
      <x:c r="K195" s="1"/>
      <x:c r="L195" s="1"/>
    </x:row>
    <x:row r="196" ht="21" customHeight="1">
      <x:c r="A196" s="1"/>
      <x:c r="B196" s="1"/>
      <x:c r="C196" s="1"/>
      <x:c r="D196" s="2"/>
      <x:c r="E196" s="2"/>
      <x:c r="F196" s="2"/>
      <x:c r="G196" s="2"/>
      <x:c r="H196" s="2"/>
      <x:c r="I196" s="2"/>
      <x:c r="J196" s="2"/>
      <x:c r="K196" s="1"/>
      <x:c r="L196" s="1"/>
    </x:row>
    <x:row r="197" ht="21" customHeight="1">
      <x:c r="A197" s="1"/>
      <x:c r="B197" s="1"/>
      <x:c r="C197" s="1"/>
      <x:c r="D197" s="2"/>
      <x:c r="E197" s="2"/>
      <x:c r="F197" s="2"/>
      <x:c r="G197" s="2"/>
      <x:c r="H197" s="2"/>
      <x:c r="I197" s="2"/>
      <x:c r="J197" s="2"/>
      <x:c r="K197" s="1"/>
      <x:c r="L197" s="1"/>
    </x:row>
    <x:row r="198" ht="21" customHeight="1">
      <x:c r="A198" s="1"/>
      <x:c r="B198" s="1"/>
      <x:c r="C198" s="1"/>
      <x:c r="D198" s="2"/>
      <x:c r="E198" s="2"/>
      <x:c r="F198" s="2"/>
      <x:c r="G198" s="2"/>
      <x:c r="H198" s="2"/>
      <x:c r="I198" s="2"/>
      <x:c r="J198" s="2"/>
      <x:c r="K198" s="1"/>
      <x:c r="L198" s="1"/>
    </x:row>
    <x:row r="199" ht="21" customHeight="1">
      <x:c r="A199" s="1"/>
      <x:c r="B199" s="1"/>
      <x:c r="C199" s="1"/>
      <x:c r="D199" s="2"/>
      <x:c r="E199" s="2"/>
      <x:c r="F199" s="2"/>
      <x:c r="G199" s="2"/>
      <x:c r="H199" s="2"/>
      <x:c r="I199" s="2"/>
      <x:c r="J199" s="2"/>
      <x:c r="K199" s="1"/>
      <x:c r="L199" s="1"/>
    </x:row>
    <x:row r="200" ht="21" customHeight="1">
      <x:c r="A200" s="1"/>
      <x:c r="B200" s="1"/>
      <x:c r="C200" s="1"/>
      <x:c r="D200" s="2"/>
      <x:c r="E200" s="2"/>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 ref="C38:J38"/>
    <x:mergeCell ref="C44:J44"/>
    <x:mergeCell ref="C56:J58"/>
  </x:mergeCells>
  <x:pageMargins left="0.7" right="0.7" top="0.75" bottom="0.75" header="0.3" footer="0.3"/>
</x:worksheet>
</file>

<file path=xl/worksheets/sheet5.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65" hidden="0" customWidth="1"/>
  </x:cols>
  <x:sheetData>
    <x:row r="1" ht="21" customHeight="1">
      <x:c r="A1" s="1"/>
      <x:c r="B1" s="1"/>
      <x:c r="C1" s="4" t="str">
        <x:v>VISTA / Peers</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t="str">
        <x:v>Selected scenario</x:v>
      </x:c>
      <x:c r="D3" s="6" t="str">
        <x:f>Controls!D4</x:f>
        <x:v>Base</x:v>
      </x:c>
      <x:c r="E3" s="1"/>
      <x:c r="F3" s="1"/>
      <x:c r="G3" s="1"/>
      <x:c r="H3" s="1"/>
      <x:c r="I3" s="1"/>
      <x:c r="J3" s="1"/>
      <x:c r="K3" s="1"/>
      <x:c r="L3" s="1"/>
    </x:row>
    <x:row r="4" ht="21" customHeight="1">
      <x:c r="A4" s="1"/>
      <x:c r="B4" s="1"/>
      <x:c r="C4" s="1"/>
      <x:c r="D4" s="2"/>
      <x:c r="E4" s="2"/>
      <x:c r="F4" s="2"/>
      <x:c r="G4" s="2"/>
      <x:c r="H4" s="2"/>
      <x:c r="I4" s="2"/>
      <x:c r="J4" s="2"/>
      <x:c r="K4" s="1"/>
      <x:c r="L4" s="1"/>
    </x:row>
    <x:row r="5" ht="30" customHeight="1">
      <x:c r="A5" s="1"/>
      <x:c r="B5" s="1"/>
      <x:c r="C5" s="33" t="str">
        <x:v>Ticker</x:v>
      </x:c>
      <x:c r="D5" s="34" t="str">
        <x:v>Include 1/0</x:v>
      </x:c>
      <x:c r="E5" s="34" t="str">
        <x:v>EV/EBITDA</x:v>
      </x:c>
      <x:c r="F5" s="34" t="str">
        <x:v>Eligible multiple</x:v>
      </x:c>
      <x:c r="G5" s="34" t="str">
        <x:v>EV IDR bn</x:v>
      </x:c>
      <x:c r="H5" s="34" t="str">
        <x:v>Price IDR</x:v>
      </x:c>
      <x:c r="I5" s="34" t="str">
        <x:v>Snapshot</x:v>
      </x:c>
      <x:c r="J5" s="34" t="str">
        <x:v>Screen rationale</x:v>
      </x:c>
      <x:c r="K5" s="1"/>
      <x:c r="L5" s="1"/>
    </x:row>
    <x:row r="6" ht="55" customHeight="1">
      <x:c r="A6" s="1"/>
      <x:c r="B6" s="1"/>
      <x:c r="C6" s="1" t="str">
        <x:v>PTRO</x:v>
      </x:c>
      <x:c r="D6" s="2" t="n">
        <x:v>1</x:v>
      </x:c>
      <x:c r="E6" s="2" t="n">
        <x:v>12.74</x:v>
      </x:c>
      <x:c r="F6" s="9" t="n">
        <x:f>IF(AND(D6=1,E6&gt;0),E6,"")</x:f>
        <x:v>12.74</x:v>
      </x:c>
      <x:c r="G6" s="2" t="n">
        <x:v>45458.334</x:v>
      </x:c>
      <x:c r="H6" s="2" t="n">
        <x:v>3110</x:v>
      </x:c>
      <x:c r="I6" s="2" t="str">
        <x:v>2026-10-19</x:v>
      </x:c>
      <x:c r="J6" s="19" t="str">
        <x:v>Contract mining fit, but EPC and offshore mix and high multiple.</x:v>
      </x:c>
      <x:c r="K6" s="1"/>
      <x:c r="L6" s="1"/>
    </x:row>
    <x:row r="7" ht="55" customHeight="1">
      <x:c r="A7" s="1"/>
      <x:c r="B7" s="1"/>
      <x:c r="C7" s="1" t="str">
        <x:v>MYOH</x:v>
      </x:c>
      <x:c r="D7" s="2" t="n">
        <x:v>1</x:v>
      </x:c>
      <x:c r="E7" s="2" t="n">
        <x:v>0.8</x:v>
      </x:c>
      <x:c r="F7" s="9" t="n">
        <x:f>IF(AND(D7=1,E7&gt;0),E7,"")</x:f>
        <x:v>0.8</x:v>
      </x:c>
      <x:c r="G7" s="2" t="n">
        <x:v>608.07</x:v>
      </x:c>
      <x:c r="H7" s="2" t="n">
        <x:v>860</x:v>
      </x:c>
      <x:c r="I7" s="2" t="str">
        <x:v>2026-10-19</x:v>
      </x:c>
      <x:c r="J7" s="19" t="str">
        <x:v>Integrated coal services fit. Net cash and low EV can distort the multiple.</x:v>
      </x:c>
      <x:c r="K7" s="1"/>
      <x:c r="L7" s="1"/>
    </x:row>
    <x:row r="8" ht="55" customHeight="1">
      <x:c r="A8" s="1"/>
      <x:c r="B8" s="1"/>
      <x:c r="C8" s="1" t="str">
        <x:v>DOID</x:v>
      </x:c>
      <x:c r="D8" s="2" t="n">
        <x:v>1</x:v>
      </x:c>
      <x:c r="E8" s="2" t="n">
        <x:v>7.91</x:v>
      </x:c>
      <x:c r="F8" s="9" t="n">
        <x:f>IF(AND(D8=1,E8&gt;0),E8,"")</x:f>
        <x:v>7.91</x:v>
      </x:c>
      <x:c r="G8" s="2" t="n">
        <x:v>17027.859</x:v>
      </x:c>
      <x:c r="H8" s="2" t="n">
        <x:v>162</x:v>
      </x:c>
      <x:c r="I8" s="2" t="str">
        <x:v>2026-10-19</x:v>
      </x:c>
      <x:c r="J8" s="19" t="str">
        <x:v>Mining contractor fit. Australia exposure, leverage and losses reduce comparability.</x:v>
      </x:c>
      <x:c r="K8" s="1"/>
      <x:c r="L8" s="1"/>
    </x:row>
    <x:row r="9" ht="55" customHeight="1">
      <x:c r="A9" s="1"/>
      <x:c r="B9" s="1"/>
      <x:c r="C9" s="1" t="str">
        <x:v>UNIQ</x:v>
      </x:c>
      <x:c r="D9" s="2" t="n">
        <x:v>1</x:v>
      </x:c>
      <x:c r="E9" s="2" t="n">
        <x:v>2.76</x:v>
      </x:c>
      <x:c r="F9" s="9" t="n">
        <x:f>IF(AND(D9=1,E9&gt;0),E9,"")</x:f>
        <x:v>2.76</x:v>
      </x:c>
      <x:c r="G9" s="2" t="n">
        <x:v>454.612</x:v>
      </x:c>
      <x:c r="H9" s="2" t="n">
        <x:v>102</x:v>
      </x:c>
      <x:c r="I9" s="2" t="str">
        <x:v>2026-10-19</x:v>
      </x:c>
      <x:c r="J9" s="19" t="str">
        <x:v>Mining and equipment rental fit. Much smaller scale and liquidity.</x:v>
      </x:c>
      <x:c r="K9" s="1"/>
      <x:c r="L9" s="1"/>
    </x:row>
    <x:row r="10" ht="55" customHeight="1">
      <x:c r="A10" s="1"/>
      <x:c r="B10" s="1"/>
      <x:c r="C10" s="1" t="str">
        <x:v>UNTR</x:v>
      </x:c>
      <x:c r="D10" s="2" t="n">
        <x:v>0</x:v>
      </x:c>
      <x:c r="E10" s="2" t="n">
        <x:v>3.73</x:v>
      </x:c>
      <x:c r="F10" s="9" t="str">
        <x:f>IF(AND(D10=1,E10&gt;0),E10,"")</x:f>
      </x:c>
      <x:c r="G10" s="2" t="n">
        <x:v>97910.457</x:v>
      </x:c>
      <x:c r="H10" s="2" t="n">
        <x:v>24375</x:v>
      </x:c>
      <x:c r="I10" s="2" t="str">
        <x:v>2026-10-20</x:v>
      </x:c>
      <x:c r="J10" s="19" t="str">
        <x:v>Secondary benchmark only: equipment distribution, mining ownership and gold diversify earnings.</x:v>
      </x:c>
      <x:c r="K10" s="1"/>
      <x:c r="L10" s="1"/>
    </x:row>
    <x:row r="11" ht="21" customHeight="1">
      <x:c r="A11" s="1"/>
      <x:c r="B11" s="1"/>
      <x:c r="C11" s="1"/>
      <x:c r="D11" s="2"/>
      <x:c r="E11" s="2"/>
      <x:c r="F11" s="2"/>
      <x:c r="G11" s="2"/>
      <x:c r="H11" s="2"/>
      <x:c r="I11" s="2"/>
      <x:c r="J11" s="2"/>
      <x:c r="K11" s="1"/>
      <x:c r="L11" s="1"/>
    </x:row>
    <x:row r="12" ht="21" customHeight="1">
      <x:c r="A12" s="1"/>
      <x:c r="B12" s="1"/>
      <x:c r="C12" s="1"/>
      <x:c r="D12" s="2"/>
      <x:c r="E12" s="2"/>
      <x:c r="F12" s="2"/>
      <x:c r="G12" s="2"/>
      <x:c r="H12" s="2"/>
      <x:c r="I12" s="2"/>
      <x:c r="J12" s="2"/>
      <x:c r="K12" s="1"/>
      <x:c r="L12" s="1"/>
    </x:row>
    <x:row r="13" ht="21" customHeight="1">
      <x:c r="A13" s="1"/>
      <x:c r="B13" s="1"/>
      <x:c r="C13" s="1" t="str">
        <x:v>Eligible count</x:v>
      </x:c>
      <x:c r="D13" s="9" t="n">
        <x:f>COUNT(F6:F10)</x:f>
        <x:v>4</x:v>
      </x:c>
      <x:c r="E13" s="2"/>
      <x:c r="F13" s="2"/>
      <x:c r="G13" s="2"/>
      <x:c r="H13" s="2"/>
      <x:c r="I13" s="2"/>
      <x:c r="J13" s="2"/>
      <x:c r="K13" s="1"/>
      <x:c r="L13" s="1"/>
    </x:row>
    <x:row r="14" ht="21" customHeight="1">
      <x:c r="A14" s="1"/>
      <x:c r="B14" s="1"/>
      <x:c r="C14" s="1" t="str">
        <x:v>Median multiple</x:v>
      </x:c>
      <x:c r="D14" s="9" t="n">
        <x:f>IF(D13=0,"n.a.",MEDIAN(F6:F10))</x:f>
        <x:v>5.335</x:v>
      </x:c>
      <x:c r="E14" s="2"/>
      <x:c r="F14" s="2"/>
      <x:c r="G14" s="2"/>
      <x:c r="H14" s="2"/>
      <x:c r="I14" s="2"/>
      <x:c r="J14" s="2"/>
      <x:c r="K14" s="1"/>
      <x:c r="L14" s="1"/>
    </x:row>
    <x:row r="15" ht="21" customHeight="1">
      <x:c r="A15" s="1"/>
      <x:c r="B15" s="1"/>
      <x:c r="C15" s="1" t="str">
        <x:v>Normalized annualized EBITDA</x:v>
      </x:c>
      <x:c r="D15" s="20" t="n">
        <x:f>History!H24*4/3</x:f>
        <x:v>2073.838585333333</x:v>
      </x:c>
      <x:c r="E15" s="2"/>
      <x:c r="F15" s="2"/>
      <x:c r="G15" s="2"/>
      <x:c r="H15" s="2"/>
      <x:c r="I15" s="2"/>
      <x:c r="J15" s="2"/>
      <x:c r="K15" s="1"/>
      <x:c r="L15" s="1"/>
    </x:row>
    <x:row r="16" ht="21" customHeight="1">
      <x:c r="A16" s="1"/>
      <x:c r="B16" s="1"/>
      <x:c r="C16" s="1" t="str">
        <x:v>Implied operating EV</x:v>
      </x:c>
      <x:c r="D16" s="9" t="n">
        <x:f>IF(D13=0,"n.a.",D14*D15)</x:f>
        <x:v>11063.928852753332</x:v>
      </x:c>
      <x:c r="E16" s="2"/>
      <x:c r="F16" s="2"/>
      <x:c r="G16" s="2"/>
      <x:c r="H16" s="2"/>
      <x:c r="I16" s="2"/>
      <x:c r="J16" s="2"/>
      <x:c r="K16" s="1"/>
      <x:c r="L16" s="1"/>
    </x:row>
    <x:row r="17" ht="21" customHeight="1">
      <x:c r="A17" s="1"/>
      <x:c r="B17" s="1"/>
      <x:c r="C17" s="1" t="str">
        <x:v>Equity before floor</x:v>
      </x:c>
      <x:c r="D17" s="20" t="n">
        <x:f>IF(D13=0,"n.a.",D16-DCF!D33+DCF!D34+DCF!D35+DCF!D36-DCF!D37)</x:f>
        <x:v>8506.628747953331</x:v>
      </x:c>
      <x:c r="E17" s="2"/>
      <x:c r="F17" s="2"/>
      <x:c r="G17" s="2"/>
      <x:c r="H17" s="2"/>
      <x:c r="I17" s="2"/>
      <x:c r="J17" s="2"/>
      <x:c r="K17" s="1"/>
      <x:c r="L17" s="1"/>
    </x:row>
    <x:row r="18" ht="21" customHeight="1">
      <x:c r="A18" s="1"/>
      <x:c r="B18" s="1"/>
      <x:c r="C18" s="1" t="str">
        <x:v>Relative IDR per share</x:v>
      </x:c>
      <x:c r="D18" s="20" t="n">
        <x:f>IF(D13=0,"n.a.",MAX(0,D17)*1000/Controls!D61)</x:f>
        <x:v>209.0726266232373</x:v>
      </x:c>
      <x:c r="E18" s="2"/>
      <x:c r="F18" s="2"/>
      <x:c r="G18" s="2"/>
      <x:c r="H18" s="2"/>
      <x:c r="I18" s="2"/>
      <x:c r="J18" s="2"/>
      <x:c r="K18" s="1"/>
      <x:c r="L18" s="1"/>
    </x:row>
    <x:row r="19" ht="21" customHeight="1">
      <x:c r="A19" s="1"/>
      <x:c r="B19" s="1"/>
      <x:c r="C19" s="1" t="str">
        <x:v>Coefficient of variation</x:v>
      </x:c>
      <x:c r="D19" s="9" t="n">
        <x:f>IF(D13=0,0,STDEVP(F6:F10)/AVERAGE(F6:F10))</x:f>
        <x:v>0.7687760704357915</x:v>
      </x:c>
      <x:c r="E19" s="2"/>
      <x:c r="F19" s="2"/>
      <x:c r="G19" s="2"/>
      <x:c r="H19" s="2"/>
      <x:c r="I19" s="2"/>
      <x:c r="J19" s="2"/>
      <x:c r="K19" s="1"/>
      <x:c r="L19" s="1"/>
    </x:row>
    <x:row r="20" ht="21" customHeight="1">
      <x:c r="A20" s="1"/>
      <x:c r="B20" s="1"/>
      <x:c r="C20" s="1"/>
      <x:c r="D20" s="2"/>
      <x:c r="E20" s="2"/>
      <x:c r="F20" s="2"/>
      <x:c r="G20" s="2"/>
      <x:c r="H20" s="2"/>
      <x:c r="I20" s="2"/>
      <x:c r="J20" s="2"/>
      <x:c r="K20" s="1"/>
      <x:c r="L20" s="1"/>
    </x:row>
    <x:row r="21" ht="21" customHeight="1">
      <x:c r="A21" s="1"/>
      <x:c r="B21" s="1"/>
      <x:c r="C21" s="1"/>
      <x:c r="D21" s="2"/>
      <x:c r="E21" s="2"/>
      <x:c r="F21" s="2"/>
      <x:c r="G21" s="2"/>
      <x:c r="H21" s="2"/>
      <x:c r="I21" s="2"/>
      <x:c r="J21" s="2"/>
      <x:c r="K21" s="1"/>
      <x:c r="L21" s="1"/>
    </x:row>
    <x:row r="22" ht="21" customHeight="1">
      <x:c r="A22" s="1"/>
      <x:c r="B22" s="1"/>
      <x:c r="C22" s="1"/>
      <x:c r="D22" s="2"/>
      <x:c r="E22" s="2"/>
      <x:c r="F22" s="2"/>
      <x:c r="G22" s="2"/>
      <x:c r="H22" s="2"/>
      <x:c r="I22" s="2"/>
      <x:c r="J22" s="2"/>
      <x:c r="K22" s="1"/>
      <x:c r="L22" s="1"/>
    </x:row>
    <x:row r="23" ht="21" customHeight="1">
      <x:c r="A23" s="1"/>
      <x:c r="B23" s="1"/>
      <x:c r="C23" s="1" t="str">
        <x:v>PTRO</x:v>
      </x:c>
      <x:c r="D23" s="2" t="str">
        <x:v>https://stockanalysis.com/quote/idx/PTRO/financials/ratios/</x:v>
      </x:c>
      <x:c r="E23" s="2"/>
      <x:c r="F23" s="2"/>
      <x:c r="G23" s="2"/>
      <x:c r="H23" s="2"/>
      <x:c r="I23" s="2"/>
      <x:c r="J23" s="2"/>
      <x:c r="K23" s="1"/>
      <x:c r="L23" s="1"/>
    </x:row>
    <x:row r="24" ht="21" customHeight="1">
      <x:c r="A24" s="1"/>
      <x:c r="B24" s="1"/>
      <x:c r="C24" s="1" t="str">
        <x:v>MYOH</x:v>
      </x:c>
      <x:c r="D24" s="2" t="str">
        <x:v>https://stockanalysis.com/quote/idx/MYOH/financials/ratios/</x:v>
      </x:c>
      <x:c r="E24" s="2"/>
      <x:c r="F24" s="2"/>
      <x:c r="G24" s="2"/>
      <x:c r="H24" s="2"/>
      <x:c r="I24" s="2"/>
      <x:c r="J24" s="2"/>
      <x:c r="K24" s="1"/>
      <x:c r="L24" s="1"/>
    </x:row>
    <x:row r="25" ht="21" customHeight="1">
      <x:c r="A25" s="1"/>
      <x:c r="B25" s="1"/>
      <x:c r="C25" s="1" t="str">
        <x:v>DOID</x:v>
      </x:c>
      <x:c r="D25" s="2" t="str">
        <x:v>https://stockanalysis.com/quote/idx/DOID/financials/ratios/</x:v>
      </x:c>
      <x:c r="E25" s="2"/>
      <x:c r="F25" s="2"/>
      <x:c r="G25" s="2"/>
      <x:c r="H25" s="2"/>
      <x:c r="I25" s="2"/>
      <x:c r="J25" s="2"/>
      <x:c r="K25" s="1"/>
      <x:c r="L25" s="1"/>
    </x:row>
    <x:row r="26" ht="21" customHeight="1">
      <x:c r="A26" s="1"/>
      <x:c r="B26" s="1"/>
      <x:c r="C26" s="1" t="str">
        <x:v>UNIQ</x:v>
      </x:c>
      <x:c r="D26" s="2" t="str">
        <x:v>https://stockanalysis.com/quote/idx/UNIQ/financials/ratios/</x:v>
      </x:c>
      <x:c r="E26" s="2"/>
      <x:c r="F26" s="2"/>
      <x:c r="G26" s="2"/>
      <x:c r="H26" s="2"/>
      <x:c r="I26" s="2"/>
      <x:c r="J26" s="2"/>
      <x:c r="K26" s="1"/>
      <x:c r="L26" s="1"/>
    </x:row>
    <x:row r="27" ht="21" customHeight="1">
      <x:c r="A27" s="1"/>
      <x:c r="B27" s="1"/>
      <x:c r="C27" s="1" t="str">
        <x:v>UNTR</x:v>
      </x:c>
      <x:c r="D27" s="2" t="str">
        <x:v>https://stockanalysis.com/quote/idx/UNTR/financials/ratios/</x:v>
      </x:c>
      <x:c r="E27" s="2"/>
      <x:c r="F27" s="2"/>
      <x:c r="G27" s="2"/>
      <x:c r="H27" s="2"/>
      <x:c r="I27" s="2"/>
      <x:c r="J27" s="2"/>
      <x:c r="K27" s="1"/>
      <x:c r="L27" s="1"/>
    </x:row>
    <x:row r="28" ht="21" customHeight="1">
      <x:c r="A28" s="1"/>
      <x:c r="B28" s="1"/>
      <x:c r="C28" s="1"/>
      <x:c r="D28" s="2"/>
      <x:c r="E28" s="2"/>
      <x:c r="F28" s="2"/>
      <x:c r="G28" s="2"/>
      <x:c r="H28" s="2"/>
      <x:c r="I28" s="2"/>
      <x:c r="J28" s="2"/>
      <x:c r="K28" s="1"/>
      <x:c r="L28" s="1"/>
    </x:row>
    <x:row r="29" ht="21" customHeight="1">
      <x:c r="A29" s="1"/>
      <x:c r="B29" s="1"/>
      <x:c r="C29" s="1"/>
      <x:c r="D29" s="2"/>
      <x:c r="E29" s="2"/>
      <x:c r="F29" s="2"/>
      <x:c r="G29" s="2"/>
      <x:c r="H29" s="2"/>
      <x:c r="I29" s="2"/>
      <x:c r="J29" s="2"/>
      <x:c r="K29" s="1"/>
      <x:c r="L29" s="1"/>
    </x:row>
    <x:row r="30" ht="21" customHeight="1">
      <x:c r="A30" s="1"/>
      <x:c r="B30" s="1"/>
      <x:c r="C30" s="18" t="str">
        <x:v>Vendor Current/TTM snapshots are rounded. Period endpoints and leases are not independently harmonized. UNTR is a later secondary benchmark. No peer is discarded solely for its multiple.</x:v>
      </x:c>
      <x:c r="D30" s="19"/>
      <x:c r="E30" s="19"/>
      <x:c r="F30" s="19"/>
      <x:c r="G30" s="19"/>
      <x:c r="H30" s="19"/>
      <x:c r="I30" s="19"/>
      <x:c r="J30" s="19"/>
      <x:c r="K30" s="1"/>
      <x:c r="L30" s="1"/>
    </x:row>
    <x:row r="31" ht="21" customHeight="1">
      <x:c r="A31" s="1"/>
      <x:c r="B31" s="1"/>
      <x:c r="C31" s="18"/>
      <x:c r="D31" s="19"/>
      <x:c r="E31" s="19"/>
      <x:c r="F31" s="19"/>
      <x:c r="G31" s="19"/>
      <x:c r="H31" s="19"/>
      <x:c r="I31" s="19"/>
      <x:c r="J31" s="19"/>
      <x:c r="K31" s="1"/>
      <x:c r="L31" s="1"/>
    </x:row>
    <x:row r="32" ht="21" customHeight="1">
      <x:c r="A32" s="1"/>
      <x:c r="B32" s="1"/>
      <x:c r="C32" s="18"/>
      <x:c r="D32" s="19"/>
      <x:c r="E32" s="19"/>
      <x:c r="F32" s="19"/>
      <x:c r="G32" s="19"/>
      <x:c r="H32" s="19"/>
      <x:c r="I32" s="19"/>
      <x:c r="J32" s="19"/>
      <x:c r="K32" s="1"/>
      <x:c r="L32" s="1"/>
    </x:row>
    <x:row r="33" ht="21" customHeight="1">
      <x:c r="A33" s="1"/>
      <x:c r="B33" s="1"/>
      <x:c r="C33" s="18"/>
      <x:c r="D33" s="19"/>
      <x:c r="E33" s="19"/>
      <x:c r="F33" s="19"/>
      <x:c r="G33" s="19"/>
      <x:c r="H33" s="19"/>
      <x:c r="I33" s="19"/>
      <x:c r="J33" s="19"/>
      <x:c r="K33" s="1"/>
      <x:c r="L33" s="1"/>
    </x:row>
    <x:row r="34" ht="21" customHeight="1">
      <x:c r="A34" s="1"/>
      <x:c r="B34" s="1"/>
      <x:c r="C34" s="1"/>
      <x:c r="D34" s="2"/>
      <x:c r="E34" s="2"/>
      <x:c r="F34" s="2"/>
      <x:c r="G34" s="2"/>
      <x:c r="H34" s="2"/>
      <x:c r="I34" s="2"/>
      <x:c r="J34" s="2"/>
      <x:c r="K34" s="1"/>
      <x:c r="L34" s="1"/>
    </x:row>
    <x:row r="35" ht="21" customHeight="1">
      <x:c r="A35" s="1"/>
      <x:c r="B35" s="1"/>
      <x:c r="C35" s="1"/>
      <x:c r="D35" s="2"/>
      <x:c r="E35" s="2"/>
      <x:c r="F35" s="2"/>
      <x:c r="G35" s="2"/>
      <x:c r="H35" s="2"/>
      <x:c r="I35" s="2"/>
      <x:c r="J35" s="2"/>
      <x:c r="K35" s="1"/>
      <x:c r="L35" s="1"/>
    </x:row>
    <x:row r="36" ht="21" customHeight="1">
      <x:c r="A36" s="1"/>
      <x:c r="B36" s="1"/>
      <x:c r="C36" s="1"/>
      <x:c r="D36" s="2"/>
      <x:c r="E36" s="2"/>
      <x:c r="F36" s="2"/>
      <x:c r="G36" s="2"/>
      <x:c r="H36" s="2"/>
      <x:c r="I36" s="2"/>
      <x:c r="J36" s="2"/>
      <x:c r="K36" s="1"/>
      <x:c r="L36" s="1"/>
    </x:row>
    <x:row r="37" ht="21" customHeight="1">
      <x:c r="A37" s="1"/>
      <x:c r="B37" s="1"/>
      <x:c r="C37" s="1"/>
      <x:c r="D37" s="2"/>
      <x:c r="E37" s="2"/>
      <x:c r="F37" s="2"/>
      <x:c r="G37" s="2"/>
      <x:c r="H37" s="2"/>
      <x:c r="I37" s="2"/>
      <x:c r="J37" s="2"/>
      <x:c r="K37" s="1"/>
      <x:c r="L37" s="1"/>
    </x:row>
    <x:row r="38" ht="21" customHeight="1">
      <x:c r="A38" s="1"/>
      <x:c r="B38" s="1"/>
      <x:c r="C38" s="1"/>
      <x:c r="D38" s="2"/>
      <x:c r="E38" s="2"/>
      <x:c r="F38" s="2"/>
      <x:c r="G38" s="2"/>
      <x:c r="H38" s="2"/>
      <x:c r="I38" s="2"/>
      <x:c r="J38" s="2"/>
      <x:c r="K38" s="1"/>
      <x:c r="L38" s="1"/>
    </x:row>
    <x:row r="39" ht="21" customHeight="1">
      <x:c r="A39" s="1"/>
      <x:c r="B39" s="1"/>
      <x:c r="C39" s="1"/>
      <x:c r="D39" s="2"/>
      <x:c r="E39" s="2"/>
      <x:c r="F39" s="2"/>
      <x:c r="G39" s="2"/>
      <x:c r="H39" s="2"/>
      <x:c r="I39" s="2"/>
      <x:c r="J39" s="2"/>
      <x:c r="K39" s="1"/>
      <x:c r="L39" s="1"/>
    </x:row>
    <x:row r="40" ht="21" customHeight="1">
      <x:c r="A40" s="1"/>
      <x:c r="B40" s="1"/>
      <x:c r="C40" s="1"/>
      <x:c r="D40" s="2"/>
      <x:c r="E40" s="2"/>
      <x:c r="F40" s="2"/>
      <x:c r="G40" s="2"/>
      <x:c r="H40" s="2"/>
      <x:c r="I40" s="2"/>
      <x:c r="J40" s="2"/>
      <x:c r="K40" s="1"/>
      <x:c r="L40" s="1"/>
    </x:row>
    <x:row r="41" ht="21" customHeight="1">
      <x:c r="A41" s="1"/>
      <x:c r="B41" s="1"/>
      <x:c r="C41" s="1"/>
      <x:c r="D41" s="2"/>
      <x:c r="E41" s="2"/>
      <x:c r="F41" s="2"/>
      <x:c r="G41" s="2"/>
      <x:c r="H41" s="2"/>
      <x:c r="I41" s="2"/>
      <x:c r="J41" s="2"/>
      <x:c r="K41" s="1"/>
      <x:c r="L41" s="1"/>
    </x:row>
    <x:row r="42" ht="21" customHeight="1">
      <x:c r="A42" s="1"/>
      <x:c r="B42" s="1"/>
      <x:c r="C42" s="1"/>
      <x:c r="D42" s="2"/>
      <x:c r="E42" s="2"/>
      <x:c r="F42" s="2"/>
      <x:c r="G42" s="2"/>
      <x:c r="H42" s="2"/>
      <x:c r="I42" s="2"/>
      <x:c r="J42" s="2"/>
      <x:c r="K42" s="1"/>
      <x:c r="L42" s="1"/>
    </x:row>
    <x:row r="43" ht="21" customHeight="1">
      <x:c r="A43" s="1"/>
      <x:c r="B43" s="1"/>
      <x:c r="C43" s="1"/>
      <x:c r="D43" s="2"/>
      <x:c r="E43" s="2"/>
      <x:c r="F43" s="2"/>
      <x:c r="G43" s="2"/>
      <x:c r="H43" s="2"/>
      <x:c r="I43" s="2"/>
      <x:c r="J43" s="2"/>
      <x:c r="K43" s="1"/>
      <x:c r="L43" s="1"/>
    </x:row>
    <x:row r="44" ht="21" customHeight="1">
      <x:c r="A44" s="1"/>
      <x:c r="B44" s="1"/>
      <x:c r="C44" s="1"/>
      <x:c r="D44" s="2"/>
      <x:c r="E44" s="2"/>
      <x:c r="F44" s="2"/>
      <x:c r="G44" s="2"/>
      <x:c r="H44" s="2"/>
      <x:c r="I44" s="2"/>
      <x:c r="J44" s="2"/>
      <x:c r="K44" s="1"/>
      <x:c r="L44" s="1"/>
    </x:row>
    <x:row r="45" ht="21" customHeight="1">
      <x:c r="A45" s="1"/>
      <x:c r="B45" s="1"/>
      <x:c r="C45" s="1"/>
      <x:c r="D45" s="2"/>
      <x:c r="E45" s="2"/>
      <x:c r="F45" s="2"/>
      <x:c r="G45" s="2"/>
      <x:c r="H45" s="2"/>
      <x:c r="I45" s="2"/>
      <x:c r="J45" s="2"/>
      <x:c r="K45" s="1"/>
      <x:c r="L45" s="1"/>
    </x:row>
    <x:row r="46" ht="21" customHeight="1">
      <x:c r="A46" s="1"/>
      <x:c r="B46" s="1"/>
      <x:c r="C46" s="1"/>
      <x:c r="D46" s="2"/>
      <x:c r="E46" s="2"/>
      <x:c r="F46" s="2"/>
      <x:c r="G46" s="2"/>
      <x:c r="H46" s="2"/>
      <x:c r="I46" s="2"/>
      <x:c r="J46" s="2"/>
      <x:c r="K46" s="1"/>
      <x:c r="L46" s="1"/>
    </x:row>
    <x:row r="47" ht="21" customHeight="1">
      <x:c r="A47" s="1"/>
      <x:c r="B47" s="1"/>
      <x:c r="C47" s="1"/>
      <x:c r="D47" s="2"/>
      <x:c r="E47" s="2"/>
      <x:c r="F47" s="2"/>
      <x:c r="G47" s="2"/>
      <x:c r="H47" s="2"/>
      <x:c r="I47" s="2"/>
      <x:c r="J47" s="2"/>
      <x:c r="K47" s="1"/>
      <x:c r="L47" s="1"/>
    </x:row>
    <x:row r="48" ht="21" customHeight="1">
      <x:c r="A48" s="1"/>
      <x:c r="B48" s="1"/>
      <x:c r="C48" s="1"/>
      <x:c r="D48" s="2"/>
      <x:c r="E48" s="2"/>
      <x:c r="F48" s="2"/>
      <x:c r="G48" s="2"/>
      <x:c r="H48" s="2"/>
      <x:c r="I48" s="2"/>
      <x:c r="J48" s="2"/>
      <x:c r="K48" s="1"/>
      <x:c r="L48" s="1"/>
    </x:row>
    <x:row r="49" ht="21" customHeight="1">
      <x:c r="A49" s="1"/>
      <x:c r="B49" s="1"/>
      <x:c r="C49" s="1"/>
      <x:c r="D49" s="2"/>
      <x:c r="E49" s="2"/>
      <x:c r="F49" s="2"/>
      <x:c r="G49" s="2"/>
      <x:c r="H49" s="2"/>
      <x:c r="I49" s="2"/>
      <x:c r="J49" s="2"/>
      <x:c r="K49" s="1"/>
      <x:c r="L49" s="1"/>
    </x:row>
    <x:row r="50" ht="21" customHeight="1">
      <x:c r="A50" s="1"/>
      <x:c r="B50" s="1"/>
      <x:c r="C50" s="1"/>
      <x:c r="D50" s="2"/>
      <x:c r="E50" s="2"/>
      <x:c r="F50" s="2"/>
      <x:c r="G50" s="2"/>
      <x:c r="H50" s="2"/>
      <x:c r="I50" s="2"/>
      <x:c r="J50" s="2"/>
      <x:c r="K50" s="1"/>
      <x:c r="L50" s="1"/>
    </x:row>
    <x:row r="51" ht="21" customHeight="1">
      <x:c r="A51" s="1"/>
      <x:c r="B51" s="1"/>
      <x:c r="C51" s="1"/>
      <x:c r="D51" s="2"/>
      <x:c r="E51" s="2"/>
      <x:c r="F51" s="2"/>
      <x:c r="G51" s="2"/>
      <x:c r="H51" s="2"/>
      <x:c r="I51" s="2"/>
      <x:c r="J51" s="2"/>
      <x:c r="K51" s="1"/>
      <x:c r="L51" s="1"/>
    </x:row>
    <x:row r="52" ht="21" customHeight="1">
      <x:c r="A52" s="1"/>
      <x:c r="B52" s="1"/>
      <x:c r="C52" s="1"/>
      <x:c r="D52" s="2"/>
      <x:c r="E52" s="2"/>
      <x:c r="F52" s="2"/>
      <x:c r="G52" s="2"/>
      <x:c r="H52" s="2"/>
      <x:c r="I52" s="2"/>
      <x:c r="J52" s="2"/>
      <x:c r="K52" s="1"/>
      <x:c r="L52" s="1"/>
    </x:row>
    <x:row r="53" ht="21" customHeight="1">
      <x:c r="A53" s="1"/>
      <x:c r="B53" s="1"/>
      <x:c r="C53" s="1"/>
      <x:c r="D53" s="2"/>
      <x:c r="E53" s="2"/>
      <x:c r="F53" s="2"/>
      <x:c r="G53" s="2"/>
      <x:c r="H53" s="2"/>
      <x:c r="I53" s="2"/>
      <x:c r="J53" s="2"/>
      <x:c r="K53" s="1"/>
      <x:c r="L53" s="1"/>
    </x:row>
    <x:row r="54" ht="21" customHeight="1">
      <x:c r="A54" s="1"/>
      <x:c r="B54" s="1"/>
      <x:c r="C54" s="1"/>
      <x:c r="D54" s="2"/>
      <x:c r="E54" s="2"/>
      <x:c r="F54" s="2"/>
      <x:c r="G54" s="2"/>
      <x:c r="H54" s="2"/>
      <x:c r="I54" s="2"/>
      <x:c r="J54" s="2"/>
      <x:c r="K54" s="1"/>
      <x:c r="L54" s="1"/>
    </x:row>
    <x:row r="55" ht="21" customHeight="1">
      <x:c r="A55" s="1"/>
      <x:c r="B55" s="1"/>
      <x:c r="C55" s="1"/>
      <x:c r="D55" s="2"/>
      <x:c r="E55" s="2"/>
      <x:c r="F55" s="2"/>
      <x:c r="G55" s="2"/>
      <x:c r="H55" s="2"/>
      <x:c r="I55" s="2"/>
      <x:c r="J55" s="2"/>
      <x:c r="K55" s="1"/>
      <x:c r="L55" s="1"/>
    </x:row>
    <x:row r="56" ht="21" customHeight="1">
      <x:c r="A56" s="1"/>
      <x:c r="B56" s="1"/>
      <x:c r="C56" s="1"/>
      <x:c r="D56" s="2"/>
      <x:c r="E56" s="2"/>
      <x:c r="F56" s="2"/>
      <x:c r="G56" s="2"/>
      <x:c r="H56" s="2"/>
      <x:c r="I56" s="2"/>
      <x:c r="J56" s="2"/>
      <x:c r="K56" s="1"/>
      <x:c r="L56" s="1"/>
    </x:row>
    <x:row r="57" ht="21" customHeight="1">
      <x:c r="A57" s="1"/>
      <x:c r="B57" s="1"/>
      <x:c r="C57" s="1"/>
      <x:c r="D57" s="2"/>
      <x:c r="E57" s="2"/>
      <x:c r="F57" s="2"/>
      <x:c r="G57" s="2"/>
      <x:c r="H57" s="2"/>
      <x:c r="I57" s="2"/>
      <x:c r="J57" s="2"/>
      <x:c r="K57" s="1"/>
      <x:c r="L57" s="1"/>
    </x:row>
    <x:row r="58" ht="21" customHeight="1">
      <x:c r="A58" s="1"/>
      <x:c r="B58" s="1"/>
      <x:c r="C58" s="1"/>
      <x:c r="D58" s="2"/>
      <x:c r="E58" s="2"/>
      <x:c r="F58" s="2"/>
      <x:c r="G58" s="2"/>
      <x:c r="H58" s="2"/>
      <x:c r="I58" s="2"/>
      <x:c r="J58" s="2"/>
      <x:c r="K58" s="1"/>
      <x:c r="L58" s="1"/>
    </x:row>
    <x:row r="59" ht="21" customHeight="1">
      <x:c r="A59" s="1"/>
      <x:c r="B59" s="1"/>
      <x:c r="C59" s="1"/>
      <x:c r="D59" s="2"/>
      <x:c r="E59" s="2"/>
      <x:c r="F59" s="2"/>
      <x:c r="G59" s="2"/>
      <x:c r="H59" s="2"/>
      <x:c r="I59" s="2"/>
      <x:c r="J59" s="2"/>
      <x:c r="K59" s="1"/>
      <x:c r="L59" s="1"/>
    </x:row>
    <x:row r="60" ht="21" customHeight="1">
      <x:c r="A60" s="1"/>
      <x:c r="B60" s="1"/>
      <x:c r="C60" s="1"/>
      <x:c r="D60" s="2"/>
      <x:c r="E60" s="2"/>
      <x:c r="F60" s="2"/>
      <x:c r="G60" s="2"/>
      <x:c r="H60" s="2"/>
      <x:c r="I60" s="2"/>
      <x:c r="J60" s="2"/>
      <x:c r="K60" s="1"/>
      <x:c r="L60" s="1"/>
    </x:row>
    <x:row r="61" ht="21" customHeight="1">
      <x:c r="A61" s="1"/>
      <x:c r="B61" s="1"/>
      <x:c r="C61" s="1"/>
      <x:c r="D61" s="2"/>
      <x:c r="E61" s="2"/>
      <x:c r="F61" s="2"/>
      <x:c r="G61" s="2"/>
      <x:c r="H61" s="2"/>
      <x:c r="I61" s="2"/>
      <x:c r="J61" s="2"/>
      <x:c r="K61" s="1"/>
      <x:c r="L61" s="1"/>
    </x:row>
    <x:row r="62" ht="21" customHeight="1">
      <x:c r="A62" s="1"/>
      <x:c r="B62" s="1"/>
      <x:c r="C62" s="1"/>
      <x:c r="D62" s="2"/>
      <x:c r="E62" s="2"/>
      <x:c r="F62" s="2"/>
      <x:c r="G62" s="2"/>
      <x:c r="H62" s="2"/>
      <x:c r="I62" s="2"/>
      <x:c r="J62" s="2"/>
      <x:c r="K62" s="1"/>
      <x:c r="L62" s="1"/>
    </x:row>
    <x:row r="63" ht="21" customHeight="1">
      <x:c r="A63" s="1"/>
      <x:c r="B63" s="1"/>
      <x:c r="C63" s="1"/>
      <x:c r="D63" s="2"/>
      <x:c r="E63" s="2"/>
      <x:c r="F63" s="2"/>
      <x:c r="G63" s="2"/>
      <x:c r="H63" s="2"/>
      <x:c r="I63" s="2"/>
      <x:c r="J63" s="2"/>
      <x:c r="K63" s="1"/>
      <x:c r="L63" s="1"/>
    </x:row>
    <x:row r="64" ht="21" customHeight="1">
      <x:c r="A64" s="1"/>
      <x:c r="B64" s="1"/>
      <x:c r="C64" s="1"/>
      <x:c r="D64" s="2"/>
      <x:c r="E64" s="2"/>
      <x:c r="F64" s="2"/>
      <x:c r="G64" s="2"/>
      <x:c r="H64" s="2"/>
      <x:c r="I64" s="2"/>
      <x:c r="J64" s="2"/>
      <x:c r="K64" s="1"/>
      <x:c r="L64" s="1"/>
    </x:row>
    <x:row r="65" ht="21" customHeight="1">
      <x:c r="A65" s="1"/>
      <x:c r="B65" s="1"/>
      <x:c r="C65" s="1"/>
      <x:c r="D65" s="2"/>
      <x:c r="E65" s="2"/>
      <x:c r="F65" s="2"/>
      <x:c r="G65" s="2"/>
      <x:c r="H65" s="2"/>
      <x:c r="I65" s="2"/>
      <x:c r="J65" s="2"/>
      <x:c r="K65" s="1"/>
      <x:c r="L65" s="1"/>
    </x:row>
    <x:row r="66" ht="21" customHeight="1">
      <x:c r="A66" s="1"/>
      <x:c r="B66" s="1"/>
      <x:c r="C66" s="1"/>
      <x:c r="D66" s="2"/>
      <x:c r="E66" s="2"/>
      <x:c r="F66" s="2"/>
      <x:c r="G66" s="2"/>
      <x:c r="H66" s="2"/>
      <x:c r="I66" s="2"/>
      <x:c r="J66" s="2"/>
      <x:c r="K66" s="1"/>
      <x:c r="L66" s="1"/>
    </x:row>
    <x:row r="67" ht="21" customHeight="1">
      <x:c r="A67" s="1"/>
      <x:c r="B67" s="1"/>
      <x:c r="C67" s="1"/>
      <x:c r="D67" s="2"/>
      <x:c r="E67" s="2"/>
      <x:c r="F67" s="2"/>
      <x:c r="G67" s="2"/>
      <x:c r="H67" s="2"/>
      <x:c r="I67" s="2"/>
      <x:c r="J67" s="2"/>
      <x:c r="K67" s="1"/>
      <x:c r="L67" s="1"/>
    </x:row>
    <x:row r="68" ht="21" customHeight="1">
      <x:c r="A68" s="1"/>
      <x:c r="B68" s="1"/>
      <x:c r="C68" s="1"/>
      <x:c r="D68" s="2"/>
      <x:c r="E68" s="2"/>
      <x:c r="F68" s="2"/>
      <x:c r="G68" s="2"/>
      <x:c r="H68" s="2"/>
      <x:c r="I68" s="2"/>
      <x:c r="J68" s="2"/>
      <x:c r="K68" s="1"/>
      <x:c r="L68" s="1"/>
    </x:row>
    <x:row r="69" ht="21" customHeight="1">
      <x:c r="A69" s="1"/>
      <x:c r="B69" s="1"/>
      <x:c r="C69" s="1"/>
      <x:c r="D69" s="2"/>
      <x:c r="E69" s="2"/>
      <x:c r="F69" s="2"/>
      <x:c r="G69" s="2"/>
      <x:c r="H69" s="2"/>
      <x:c r="I69" s="2"/>
      <x:c r="J69" s="2"/>
      <x:c r="K69" s="1"/>
      <x:c r="L69" s="1"/>
    </x:row>
    <x:row r="70" ht="21" customHeight="1">
      <x:c r="A70" s="1"/>
      <x:c r="B70" s="1"/>
      <x:c r="C70" s="1"/>
      <x:c r="D70" s="2"/>
      <x:c r="E70" s="2"/>
      <x:c r="F70" s="2"/>
      <x:c r="G70" s="2"/>
      <x:c r="H70" s="2"/>
      <x:c r="I70" s="2"/>
      <x:c r="J70" s="2"/>
      <x:c r="K70" s="1"/>
      <x:c r="L70" s="1"/>
    </x:row>
    <x:row r="71" ht="21" customHeight="1">
      <x:c r="A71" s="1"/>
      <x:c r="B71" s="1"/>
      <x:c r="C71" s="1"/>
      <x:c r="D71" s="2"/>
      <x:c r="E71" s="2"/>
      <x:c r="F71" s="2"/>
      <x:c r="G71" s="2"/>
      <x:c r="H71" s="2"/>
      <x:c r="I71" s="2"/>
      <x:c r="J71" s="2"/>
      <x:c r="K71" s="1"/>
      <x:c r="L71" s="1"/>
    </x:row>
    <x:row r="72" ht="21" customHeight="1">
      <x:c r="A72" s="1"/>
      <x:c r="B72" s="1"/>
      <x:c r="C72" s="1"/>
      <x:c r="D72" s="2"/>
      <x:c r="E72" s="2"/>
      <x:c r="F72" s="2"/>
      <x:c r="G72" s="2"/>
      <x:c r="H72" s="2"/>
      <x:c r="I72" s="2"/>
      <x:c r="J72" s="2"/>
      <x:c r="K72" s="1"/>
      <x:c r="L72" s="1"/>
    </x:row>
    <x:row r="73" ht="21" customHeight="1">
      <x:c r="A73" s="1"/>
      <x:c r="B73" s="1"/>
      <x:c r="C73" s="1"/>
      <x:c r="D73" s="2"/>
      <x:c r="E73" s="2"/>
      <x:c r="F73" s="2"/>
      <x:c r="G73" s="2"/>
      <x:c r="H73" s="2"/>
      <x:c r="I73" s="2"/>
      <x:c r="J73" s="2"/>
      <x:c r="K73" s="1"/>
      <x:c r="L73" s="1"/>
    </x:row>
    <x:row r="74" ht="21" customHeight="1">
      <x:c r="A74" s="1"/>
      <x:c r="B74" s="1"/>
      <x:c r="C74" s="1"/>
      <x:c r="D74" s="2"/>
      <x:c r="E74" s="2"/>
      <x:c r="F74" s="2"/>
      <x:c r="G74" s="2"/>
      <x:c r="H74" s="2"/>
      <x:c r="I74" s="2"/>
      <x:c r="J74" s="2"/>
      <x:c r="K74" s="1"/>
      <x:c r="L74" s="1"/>
    </x:row>
    <x:row r="75" ht="21" customHeight="1">
      <x:c r="A75" s="1"/>
      <x:c r="B75" s="1"/>
      <x:c r="C75" s="1"/>
      <x:c r="D75" s="2"/>
      <x:c r="E75" s="2"/>
      <x:c r="F75" s="2"/>
      <x:c r="G75" s="2"/>
      <x:c r="H75" s="2"/>
      <x:c r="I75" s="2"/>
      <x:c r="J75" s="2"/>
      <x:c r="K75" s="1"/>
      <x:c r="L75" s="1"/>
    </x:row>
    <x:row r="76" ht="21" customHeight="1">
      <x:c r="A76" s="1"/>
      <x:c r="B76" s="1"/>
      <x:c r="C76" s="1"/>
      <x:c r="D76" s="2"/>
      <x:c r="E76" s="2"/>
      <x:c r="F76" s="2"/>
      <x:c r="G76" s="2"/>
      <x:c r="H76" s="2"/>
      <x:c r="I76" s="2"/>
      <x:c r="J76" s="2"/>
      <x:c r="K76" s="1"/>
      <x:c r="L76" s="1"/>
    </x:row>
    <x:row r="77" ht="21" customHeight="1">
      <x:c r="A77" s="1"/>
      <x:c r="B77" s="1"/>
      <x:c r="C77" s="1"/>
      <x:c r="D77" s="2"/>
      <x:c r="E77" s="2"/>
      <x:c r="F77" s="2"/>
      <x:c r="G77" s="2"/>
      <x:c r="H77" s="2"/>
      <x:c r="I77" s="2"/>
      <x:c r="J77" s="2"/>
      <x:c r="K77" s="1"/>
      <x:c r="L77" s="1"/>
    </x:row>
    <x:row r="78" ht="21" customHeight="1">
      <x:c r="A78" s="1"/>
      <x:c r="B78" s="1"/>
      <x:c r="C78" s="1"/>
      <x:c r="D78" s="2"/>
      <x:c r="E78" s="2"/>
      <x:c r="F78" s="2"/>
      <x:c r="G78" s="2"/>
      <x:c r="H78" s="2"/>
      <x:c r="I78" s="2"/>
      <x:c r="J78" s="2"/>
      <x:c r="K78" s="1"/>
      <x:c r="L78" s="1"/>
    </x:row>
    <x:row r="79" ht="21" customHeight="1">
      <x:c r="A79" s="1"/>
      <x:c r="B79" s="1"/>
      <x:c r="C79" s="1"/>
      <x:c r="D79" s="2"/>
      <x:c r="E79" s="2"/>
      <x:c r="F79" s="2"/>
      <x:c r="G79" s="2"/>
      <x:c r="H79" s="2"/>
      <x:c r="I79" s="2"/>
      <x:c r="J79" s="2"/>
      <x:c r="K79" s="1"/>
      <x:c r="L79" s="1"/>
    </x:row>
    <x:row r="80" ht="21" customHeight="1">
      <x:c r="A80" s="1"/>
      <x:c r="B80" s="1"/>
      <x:c r="C80" s="1"/>
      <x:c r="D80" s="2"/>
      <x:c r="E80" s="2"/>
      <x:c r="F80" s="2"/>
      <x:c r="G80" s="2"/>
      <x:c r="H80" s="2"/>
      <x:c r="I80" s="2"/>
      <x:c r="J80" s="2"/>
      <x:c r="K80" s="1"/>
      <x:c r="L80" s="1"/>
    </x:row>
    <x:row r="81" ht="21" customHeight="1">
      <x:c r="A81" s="1"/>
      <x:c r="B81" s="1"/>
      <x:c r="C81" s="1"/>
      <x:c r="D81" s="2"/>
      <x:c r="E81" s="2"/>
      <x:c r="F81" s="2"/>
      <x:c r="G81" s="2"/>
      <x:c r="H81" s="2"/>
      <x:c r="I81" s="2"/>
      <x:c r="J81" s="2"/>
      <x:c r="K81" s="1"/>
      <x:c r="L81" s="1"/>
    </x:row>
    <x:row r="82" ht="21" customHeight="1">
      <x:c r="A82" s="1"/>
      <x:c r="B82" s="1"/>
      <x:c r="C82" s="1"/>
      <x:c r="D82" s="2"/>
      <x:c r="E82" s="2"/>
      <x:c r="F82" s="2"/>
      <x:c r="G82" s="2"/>
      <x:c r="H82" s="2"/>
      <x:c r="I82" s="2"/>
      <x:c r="J82" s="2"/>
      <x:c r="K82" s="1"/>
      <x:c r="L82" s="1"/>
    </x:row>
    <x:row r="83" ht="21" customHeight="1">
      <x:c r="A83" s="1"/>
      <x:c r="B83" s="1"/>
      <x:c r="C83" s="1"/>
      <x:c r="D83" s="2"/>
      <x:c r="E83" s="2"/>
      <x:c r="F83" s="2"/>
      <x:c r="G83" s="2"/>
      <x:c r="H83" s="2"/>
      <x:c r="I83" s="2"/>
      <x:c r="J83" s="2"/>
      <x:c r="K83" s="1"/>
      <x:c r="L83" s="1"/>
    </x:row>
    <x:row r="84" ht="21" customHeight="1">
      <x:c r="A84" s="1"/>
      <x:c r="B84" s="1"/>
      <x:c r="C84" s="1"/>
      <x:c r="D84" s="2"/>
      <x:c r="E84" s="2"/>
      <x:c r="F84" s="2"/>
      <x:c r="G84" s="2"/>
      <x:c r="H84" s="2"/>
      <x:c r="I84" s="2"/>
      <x:c r="J84" s="2"/>
      <x:c r="K84" s="1"/>
      <x:c r="L84" s="1"/>
    </x:row>
    <x:row r="85" ht="21" customHeight="1">
      <x:c r="A85" s="1"/>
      <x:c r="B85" s="1"/>
      <x:c r="C85" s="1"/>
      <x:c r="D85" s="2"/>
      <x:c r="E85" s="2"/>
      <x:c r="F85" s="2"/>
      <x:c r="G85" s="2"/>
      <x:c r="H85" s="2"/>
      <x:c r="I85" s="2"/>
      <x:c r="J85" s="2"/>
      <x:c r="K85" s="1"/>
      <x:c r="L85" s="1"/>
    </x:row>
    <x:row r="86" ht="21" customHeight="1">
      <x:c r="A86" s="1"/>
      <x:c r="B86" s="1"/>
      <x:c r="C86" s="1"/>
      <x:c r="D86" s="2"/>
      <x:c r="E86" s="2"/>
      <x:c r="F86" s="2"/>
      <x:c r="G86" s="2"/>
      <x:c r="H86" s="2"/>
      <x:c r="I86" s="2"/>
      <x:c r="J86" s="2"/>
      <x:c r="K86" s="1"/>
      <x:c r="L86" s="1"/>
    </x:row>
    <x:row r="87" ht="21" customHeight="1">
      <x:c r="A87" s="1"/>
      <x:c r="B87" s="1"/>
      <x:c r="C87" s="1"/>
      <x:c r="D87" s="2"/>
      <x:c r="E87" s="2"/>
      <x:c r="F87" s="2"/>
      <x:c r="G87" s="2"/>
      <x:c r="H87" s="2"/>
      <x:c r="I87" s="2"/>
      <x:c r="J87" s="2"/>
      <x:c r="K87" s="1"/>
      <x:c r="L87" s="1"/>
    </x:row>
    <x:row r="88" ht="21" customHeight="1">
      <x:c r="A88" s="1"/>
      <x:c r="B88" s="1"/>
      <x:c r="C88" s="1"/>
      <x:c r="D88" s="2"/>
      <x:c r="E88" s="2"/>
      <x:c r="F88" s="2"/>
      <x:c r="G88" s="2"/>
      <x:c r="H88" s="2"/>
      <x:c r="I88" s="2"/>
      <x:c r="J88" s="2"/>
      <x:c r="K88" s="1"/>
      <x:c r="L88" s="1"/>
    </x:row>
    <x:row r="89" ht="21" customHeight="1">
      <x:c r="A89" s="1"/>
      <x:c r="B89" s="1"/>
      <x:c r="C89" s="1"/>
      <x:c r="D89" s="2"/>
      <x:c r="E89" s="2"/>
      <x:c r="F89" s="2"/>
      <x:c r="G89" s="2"/>
      <x:c r="H89" s="2"/>
      <x:c r="I89" s="2"/>
      <x:c r="J89" s="2"/>
      <x:c r="K89" s="1"/>
      <x:c r="L89" s="1"/>
    </x:row>
    <x:row r="90" ht="21" customHeight="1">
      <x:c r="A90" s="1"/>
      <x:c r="B90" s="1"/>
      <x:c r="C90" s="1"/>
      <x:c r="D90" s="2"/>
      <x:c r="E90" s="2"/>
      <x:c r="F90" s="2"/>
      <x:c r="G90" s="2"/>
      <x:c r="H90" s="2"/>
      <x:c r="I90" s="2"/>
      <x:c r="J90" s="2"/>
      <x:c r="K90" s="1"/>
      <x:c r="L90" s="1"/>
    </x:row>
    <x:row r="91" ht="21" customHeight="1">
      <x:c r="A91" s="1"/>
      <x:c r="B91" s="1"/>
      <x:c r="C91" s="1"/>
      <x:c r="D91" s="2"/>
      <x:c r="E91" s="2"/>
      <x:c r="F91" s="2"/>
      <x:c r="G91" s="2"/>
      <x:c r="H91" s="2"/>
      <x:c r="I91" s="2"/>
      <x:c r="J91" s="2"/>
      <x:c r="K91" s="1"/>
      <x:c r="L91" s="1"/>
    </x:row>
    <x:row r="92" ht="21" customHeight="1">
      <x:c r="A92" s="1"/>
      <x:c r="B92" s="1"/>
      <x:c r="C92" s="1"/>
      <x:c r="D92" s="2"/>
      <x:c r="E92" s="2"/>
      <x:c r="F92" s="2"/>
      <x:c r="G92" s="2"/>
      <x:c r="H92" s="2"/>
      <x:c r="I92" s="2"/>
      <x:c r="J92" s="2"/>
      <x:c r="K92" s="1"/>
      <x:c r="L92" s="1"/>
    </x:row>
    <x:row r="93" ht="21" customHeight="1">
      <x:c r="A93" s="1"/>
      <x:c r="B93" s="1"/>
      <x:c r="C93" s="1"/>
      <x:c r="D93" s="2"/>
      <x:c r="E93" s="2"/>
      <x:c r="F93" s="2"/>
      <x:c r="G93" s="2"/>
      <x:c r="H93" s="2"/>
      <x:c r="I93" s="2"/>
      <x:c r="J93" s="2"/>
      <x:c r="K93" s="1"/>
      <x:c r="L93" s="1"/>
    </x:row>
    <x:row r="94" ht="21" customHeight="1">
      <x:c r="A94" s="1"/>
      <x:c r="B94" s="1"/>
      <x:c r="C94" s="1"/>
      <x:c r="D94" s="2"/>
      <x:c r="E94" s="2"/>
      <x:c r="F94" s="2"/>
      <x:c r="G94" s="2"/>
      <x:c r="H94" s="2"/>
      <x:c r="I94" s="2"/>
      <x:c r="J94" s="2"/>
      <x:c r="K94" s="1"/>
      <x:c r="L94" s="1"/>
    </x:row>
    <x:row r="95" ht="21" customHeight="1">
      <x:c r="A95" s="1"/>
      <x:c r="B95" s="1"/>
      <x:c r="C95" s="1"/>
      <x:c r="D95" s="2"/>
      <x:c r="E95" s="2"/>
      <x:c r="F95" s="2"/>
      <x:c r="G95" s="2"/>
      <x:c r="H95" s="2"/>
      <x:c r="I95" s="2"/>
      <x:c r="J95" s="2"/>
      <x:c r="K95" s="1"/>
      <x:c r="L95" s="1"/>
    </x:row>
    <x:row r="96" ht="21" customHeight="1">
      <x:c r="A96" s="1"/>
      <x:c r="B96" s="1"/>
      <x:c r="C96" s="1"/>
      <x:c r="D96" s="2"/>
      <x:c r="E96" s="2"/>
      <x:c r="F96" s="2"/>
      <x:c r="G96" s="2"/>
      <x:c r="H96" s="2"/>
      <x:c r="I96" s="2"/>
      <x:c r="J96" s="2"/>
      <x:c r="K96" s="1"/>
      <x:c r="L96" s="1"/>
    </x:row>
    <x:row r="97" ht="21" customHeight="1">
      <x:c r="A97" s="1"/>
      <x:c r="B97" s="1"/>
      <x:c r="C97" s="1"/>
      <x:c r="D97" s="2"/>
      <x:c r="E97" s="2"/>
      <x:c r="F97" s="2"/>
      <x:c r="G97" s="2"/>
      <x:c r="H97" s="2"/>
      <x:c r="I97" s="2"/>
      <x:c r="J97" s="2"/>
      <x:c r="K97" s="1"/>
      <x:c r="L97" s="1"/>
    </x:row>
    <x:row r="98" ht="21" customHeight="1">
      <x:c r="A98" s="1"/>
      <x:c r="B98" s="1"/>
      <x:c r="C98" s="1"/>
      <x:c r="D98" s="2"/>
      <x:c r="E98" s="2"/>
      <x:c r="F98" s="2"/>
      <x:c r="G98" s="2"/>
      <x:c r="H98" s="2"/>
      <x:c r="I98" s="2"/>
      <x:c r="J98" s="2"/>
      <x:c r="K98" s="1"/>
      <x:c r="L98" s="1"/>
    </x:row>
    <x:row r="99" ht="21" customHeight="1">
      <x:c r="A99" s="1"/>
      <x:c r="B99" s="1"/>
      <x:c r="C99" s="1"/>
      <x:c r="D99" s="2"/>
      <x:c r="E99" s="2"/>
      <x:c r="F99" s="2"/>
      <x:c r="G99" s="2"/>
      <x:c r="H99" s="2"/>
      <x:c r="I99" s="2"/>
      <x:c r="J99" s="2"/>
      <x:c r="K99" s="1"/>
      <x:c r="L99" s="1"/>
    </x:row>
    <x:row r="100" ht="21" customHeight="1">
      <x:c r="A100" s="1"/>
      <x:c r="B100" s="1"/>
      <x:c r="C100" s="1"/>
      <x:c r="D100" s="2"/>
      <x:c r="E100" s="2"/>
      <x:c r="F100" s="2"/>
      <x:c r="G100" s="2"/>
      <x:c r="H100" s="2"/>
      <x:c r="I100" s="2"/>
      <x:c r="J100" s="2"/>
      <x:c r="K100" s="1"/>
      <x:c r="L100" s="1"/>
    </x:row>
    <x:row r="101" ht="21" customHeight="1">
      <x:c r="A101" s="1"/>
      <x:c r="B101" s="1"/>
      <x:c r="C101" s="1"/>
      <x:c r="D101" s="2"/>
      <x:c r="E101" s="2"/>
      <x:c r="F101" s="2"/>
      <x:c r="G101" s="2"/>
      <x:c r="H101" s="2"/>
      <x:c r="I101" s="2"/>
      <x:c r="J101" s="2"/>
      <x:c r="K101" s="1"/>
      <x:c r="L101" s="1"/>
    </x:row>
    <x:row r="102" ht="21" customHeight="1">
      <x:c r="A102" s="1"/>
      <x:c r="B102" s="1"/>
      <x:c r="C102" s="1"/>
      <x:c r="D102" s="2"/>
      <x:c r="E102" s="2"/>
      <x:c r="F102" s="2"/>
      <x:c r="G102" s="2"/>
      <x:c r="H102" s="2"/>
      <x:c r="I102" s="2"/>
      <x:c r="J102" s="2"/>
      <x:c r="K102" s="1"/>
      <x:c r="L102" s="1"/>
    </x:row>
    <x:row r="103" ht="21" customHeight="1">
      <x:c r="A103" s="1"/>
      <x:c r="B103" s="1"/>
      <x:c r="C103" s="1"/>
      <x:c r="D103" s="2"/>
      <x:c r="E103" s="2"/>
      <x:c r="F103" s="2"/>
      <x:c r="G103" s="2"/>
      <x:c r="H103" s="2"/>
      <x:c r="I103" s="2"/>
      <x:c r="J103" s="2"/>
      <x:c r="K103" s="1"/>
      <x:c r="L103" s="1"/>
    </x:row>
    <x:row r="104" ht="21" customHeight="1">
      <x:c r="A104" s="1"/>
      <x:c r="B104" s="1"/>
      <x:c r="C104" s="1"/>
      <x:c r="D104" s="2"/>
      <x:c r="E104" s="2"/>
      <x:c r="F104" s="2"/>
      <x:c r="G104" s="2"/>
      <x:c r="H104" s="2"/>
      <x:c r="I104" s="2"/>
      <x:c r="J104" s="2"/>
      <x:c r="K104" s="1"/>
      <x:c r="L104" s="1"/>
    </x:row>
    <x:row r="105" ht="21" customHeight="1">
      <x:c r="A105" s="1"/>
      <x:c r="B105" s="1"/>
      <x:c r="C105" s="1"/>
      <x:c r="D105" s="2"/>
      <x:c r="E105" s="2"/>
      <x:c r="F105" s="2"/>
      <x:c r="G105" s="2"/>
      <x:c r="H105" s="2"/>
      <x:c r="I105" s="2"/>
      <x:c r="J105" s="2"/>
      <x:c r="K105" s="1"/>
      <x:c r="L105" s="1"/>
    </x:row>
    <x:row r="106" ht="21" customHeight="1">
      <x:c r="A106" s="1"/>
      <x:c r="B106" s="1"/>
      <x:c r="C106" s="1"/>
      <x:c r="D106" s="2"/>
      <x:c r="E106" s="2"/>
      <x:c r="F106" s="2"/>
      <x:c r="G106" s="2"/>
      <x:c r="H106" s="2"/>
      <x:c r="I106" s="2"/>
      <x:c r="J106" s="2"/>
      <x:c r="K106" s="1"/>
      <x:c r="L106" s="1"/>
    </x:row>
    <x:row r="107" ht="21" customHeight="1">
      <x:c r="A107" s="1"/>
      <x:c r="B107" s="1"/>
      <x:c r="C107" s="1"/>
      <x:c r="D107" s="2"/>
      <x:c r="E107" s="2"/>
      <x:c r="F107" s="2"/>
      <x:c r="G107" s="2"/>
      <x:c r="H107" s="2"/>
      <x:c r="I107" s="2"/>
      <x:c r="J107" s="2"/>
      <x:c r="K107" s="1"/>
      <x:c r="L107" s="1"/>
    </x:row>
    <x:row r="108" ht="21" customHeight="1">
      <x:c r="A108" s="1"/>
      <x:c r="B108" s="1"/>
      <x:c r="C108" s="1"/>
      <x:c r="D108" s="2"/>
      <x:c r="E108" s="2"/>
      <x:c r="F108" s="2"/>
      <x:c r="G108" s="2"/>
      <x:c r="H108" s="2"/>
      <x:c r="I108" s="2"/>
      <x:c r="J108" s="2"/>
      <x:c r="K108" s="1"/>
      <x:c r="L108" s="1"/>
    </x:row>
    <x:row r="109" ht="21" customHeight="1">
      <x:c r="A109" s="1"/>
      <x:c r="B109" s="1"/>
      <x:c r="C109" s="1"/>
      <x:c r="D109" s="2"/>
      <x:c r="E109" s="2"/>
      <x:c r="F109" s="2"/>
      <x:c r="G109" s="2"/>
      <x:c r="H109" s="2"/>
      <x:c r="I109" s="2"/>
      <x:c r="J109" s="2"/>
      <x:c r="K109" s="1"/>
      <x:c r="L109" s="1"/>
    </x:row>
    <x:row r="110" ht="21" customHeight="1">
      <x:c r="A110" s="1"/>
      <x:c r="B110" s="1"/>
      <x:c r="C110" s="1"/>
      <x:c r="D110" s="2"/>
      <x:c r="E110" s="2"/>
      <x:c r="F110" s="2"/>
      <x:c r="G110" s="2"/>
      <x:c r="H110" s="2"/>
      <x:c r="I110" s="2"/>
      <x:c r="J110" s="2"/>
      <x:c r="K110" s="1"/>
      <x:c r="L110" s="1"/>
    </x:row>
    <x:row r="111" ht="21" customHeight="1">
      <x:c r="A111" s="1"/>
      <x:c r="B111" s="1"/>
      <x:c r="C111" s="1"/>
      <x:c r="D111" s="2"/>
      <x:c r="E111" s="2"/>
      <x:c r="F111" s="2"/>
      <x:c r="G111" s="2"/>
      <x:c r="H111" s="2"/>
      <x:c r="I111" s="2"/>
      <x:c r="J111" s="2"/>
      <x:c r="K111" s="1"/>
      <x:c r="L111" s="1"/>
    </x:row>
    <x:row r="112" ht="21" customHeight="1">
      <x:c r="A112" s="1"/>
      <x:c r="B112" s="1"/>
      <x:c r="C112" s="1"/>
      <x:c r="D112" s="2"/>
      <x:c r="E112" s="2"/>
      <x:c r="F112" s="2"/>
      <x:c r="G112" s="2"/>
      <x:c r="H112" s="2"/>
      <x:c r="I112" s="2"/>
      <x:c r="J112" s="2"/>
      <x:c r="K112" s="1"/>
      <x:c r="L112" s="1"/>
    </x:row>
    <x:row r="113" ht="21" customHeight="1">
      <x:c r="A113" s="1"/>
      <x:c r="B113" s="1"/>
      <x:c r="C113" s="1"/>
      <x:c r="D113" s="2"/>
      <x:c r="E113" s="2"/>
      <x:c r="F113" s="2"/>
      <x:c r="G113" s="2"/>
      <x:c r="H113" s="2"/>
      <x:c r="I113" s="2"/>
      <x:c r="J113" s="2"/>
      <x:c r="K113" s="1"/>
      <x:c r="L113" s="1"/>
    </x:row>
    <x:row r="114" ht="21" customHeight="1">
      <x:c r="A114" s="1"/>
      <x:c r="B114" s="1"/>
      <x:c r="C114" s="1"/>
      <x:c r="D114" s="2"/>
      <x:c r="E114" s="2"/>
      <x:c r="F114" s="2"/>
      <x:c r="G114" s="2"/>
      <x:c r="H114" s="2"/>
      <x:c r="I114" s="2"/>
      <x:c r="J114" s="2"/>
      <x:c r="K114" s="1"/>
      <x:c r="L114" s="1"/>
    </x:row>
    <x:row r="115" ht="21" customHeight="1">
      <x:c r="A115" s="1"/>
      <x:c r="B115" s="1"/>
      <x:c r="C115" s="1"/>
      <x:c r="D115" s="2"/>
      <x:c r="E115" s="2"/>
      <x:c r="F115" s="2"/>
      <x:c r="G115" s="2"/>
      <x:c r="H115" s="2"/>
      <x:c r="I115" s="2"/>
      <x:c r="J115" s="2"/>
      <x:c r="K115" s="1"/>
      <x:c r="L115" s="1"/>
    </x:row>
    <x:row r="116" ht="21" customHeight="1">
      <x:c r="A116" s="1"/>
      <x:c r="B116" s="1"/>
      <x:c r="C116" s="1"/>
      <x:c r="D116" s="2"/>
      <x:c r="E116" s="2"/>
      <x:c r="F116" s="2"/>
      <x:c r="G116" s="2"/>
      <x:c r="H116" s="2"/>
      <x:c r="I116" s="2"/>
      <x:c r="J116" s="2"/>
      <x:c r="K116" s="1"/>
      <x:c r="L116" s="1"/>
    </x:row>
    <x:row r="117" ht="21" customHeight="1">
      <x:c r="A117" s="1"/>
      <x:c r="B117" s="1"/>
      <x:c r="C117" s="1"/>
      <x:c r="D117" s="2"/>
      <x:c r="E117" s="2"/>
      <x:c r="F117" s="2"/>
      <x:c r="G117" s="2"/>
      <x:c r="H117" s="2"/>
      <x:c r="I117" s="2"/>
      <x:c r="J117" s="2"/>
      <x:c r="K117" s="1"/>
      <x:c r="L117" s="1"/>
    </x:row>
    <x:row r="118" ht="21" customHeight="1">
      <x:c r="A118" s="1"/>
      <x:c r="B118" s="1"/>
      <x:c r="C118" s="1"/>
      <x:c r="D118" s="2"/>
      <x:c r="E118" s="2"/>
      <x:c r="F118" s="2"/>
      <x:c r="G118" s="2"/>
      <x:c r="H118" s="2"/>
      <x:c r="I118" s="2"/>
      <x:c r="J118" s="2"/>
      <x:c r="K118" s="1"/>
      <x:c r="L118" s="1"/>
    </x:row>
    <x:row r="119" ht="21" customHeight="1">
      <x:c r="A119" s="1"/>
      <x:c r="B119" s="1"/>
      <x:c r="C119" s="1"/>
      <x:c r="D119" s="2"/>
      <x:c r="E119" s="2"/>
      <x:c r="F119" s="2"/>
      <x:c r="G119" s="2"/>
      <x:c r="H119" s="2"/>
      <x:c r="I119" s="2"/>
      <x:c r="J119" s="2"/>
      <x:c r="K119" s="1"/>
      <x:c r="L119" s="1"/>
    </x:row>
    <x:row r="120" ht="21" customHeight="1">
      <x:c r="A120" s="1"/>
      <x:c r="B120" s="1"/>
      <x:c r="C120" s="1"/>
      <x:c r="D120" s="2"/>
      <x:c r="E120" s="2"/>
      <x:c r="F120" s="2"/>
      <x:c r="G120" s="2"/>
      <x:c r="H120" s="2"/>
      <x:c r="I120" s="2"/>
      <x:c r="J120" s="2"/>
      <x:c r="K120" s="1"/>
      <x:c r="L120" s="1"/>
    </x:row>
    <x:row r="121" ht="21" customHeight="1">
      <x:c r="A121" s="1"/>
      <x:c r="B121" s="1"/>
      <x:c r="C121" s="1"/>
      <x:c r="D121" s="2"/>
      <x:c r="E121" s="2"/>
      <x:c r="F121" s="2"/>
      <x:c r="G121" s="2"/>
      <x:c r="H121" s="2"/>
      <x:c r="I121" s="2"/>
      <x:c r="J121" s="2"/>
      <x:c r="K121" s="1"/>
      <x:c r="L121" s="1"/>
    </x:row>
    <x:row r="122" ht="21" customHeight="1">
      <x:c r="A122" s="1"/>
      <x:c r="B122" s="1"/>
      <x:c r="C122" s="1"/>
      <x:c r="D122" s="2"/>
      <x:c r="E122" s="2"/>
      <x:c r="F122" s="2"/>
      <x:c r="G122" s="2"/>
      <x:c r="H122" s="2"/>
      <x:c r="I122" s="2"/>
      <x:c r="J122" s="2"/>
      <x:c r="K122" s="1"/>
      <x:c r="L122" s="1"/>
    </x:row>
    <x:row r="123" ht="21" customHeight="1">
      <x:c r="A123" s="1"/>
      <x:c r="B123" s="1"/>
      <x:c r="C123" s="1"/>
      <x:c r="D123" s="2"/>
      <x:c r="E123" s="2"/>
      <x:c r="F123" s="2"/>
      <x:c r="G123" s="2"/>
      <x:c r="H123" s="2"/>
      <x:c r="I123" s="2"/>
      <x:c r="J123" s="2"/>
      <x:c r="K123" s="1"/>
      <x:c r="L123" s="1"/>
    </x:row>
    <x:row r="124" ht="21" customHeight="1">
      <x:c r="A124" s="1"/>
      <x:c r="B124" s="1"/>
      <x:c r="C124" s="1"/>
      <x:c r="D124" s="2"/>
      <x:c r="E124" s="2"/>
      <x:c r="F124" s="2"/>
      <x:c r="G124" s="2"/>
      <x:c r="H124" s="2"/>
      <x:c r="I124" s="2"/>
      <x:c r="J124" s="2"/>
      <x:c r="K124" s="1"/>
      <x:c r="L124" s="1"/>
    </x:row>
    <x:row r="125" ht="21" customHeight="1">
      <x:c r="A125" s="1"/>
      <x:c r="B125" s="1"/>
      <x:c r="C125" s="1"/>
      <x:c r="D125" s="2"/>
      <x:c r="E125" s="2"/>
      <x:c r="F125" s="2"/>
      <x:c r="G125" s="2"/>
      <x:c r="H125" s="2"/>
      <x:c r="I125" s="2"/>
      <x:c r="J125" s="2"/>
      <x:c r="K125" s="1"/>
      <x:c r="L125" s="1"/>
    </x:row>
    <x:row r="126" ht="21" customHeight="1">
      <x:c r="A126" s="1"/>
      <x:c r="B126" s="1"/>
      <x:c r="C126" s="1"/>
      <x:c r="D126" s="2"/>
      <x:c r="E126" s="2"/>
      <x:c r="F126" s="2"/>
      <x:c r="G126" s="2"/>
      <x:c r="H126" s="2"/>
      <x:c r="I126" s="2"/>
      <x:c r="J126" s="2"/>
      <x:c r="K126" s="1"/>
      <x:c r="L126" s="1"/>
    </x:row>
    <x:row r="127" ht="21" customHeight="1">
      <x:c r="A127" s="1"/>
      <x:c r="B127" s="1"/>
      <x:c r="C127" s="1"/>
      <x:c r="D127" s="2"/>
      <x:c r="E127" s="2"/>
      <x:c r="F127" s="2"/>
      <x:c r="G127" s="2"/>
      <x:c r="H127" s="2"/>
      <x:c r="I127" s="2"/>
      <x:c r="J127" s="2"/>
      <x:c r="K127" s="1"/>
      <x:c r="L127" s="1"/>
    </x:row>
    <x:row r="128" ht="21" customHeight="1">
      <x:c r="A128" s="1"/>
      <x:c r="B128" s="1"/>
      <x:c r="C128" s="1"/>
      <x:c r="D128" s="2"/>
      <x:c r="E128" s="2"/>
      <x:c r="F128" s="2"/>
      <x:c r="G128" s="2"/>
      <x:c r="H128" s="2"/>
      <x:c r="I128" s="2"/>
      <x:c r="J128" s="2"/>
      <x:c r="K128" s="1"/>
      <x:c r="L128" s="1"/>
    </x:row>
    <x:row r="129" ht="21" customHeight="1">
      <x:c r="A129" s="1"/>
      <x:c r="B129" s="1"/>
      <x:c r="C129" s="1"/>
      <x:c r="D129" s="2"/>
      <x:c r="E129" s="2"/>
      <x:c r="F129" s="2"/>
      <x:c r="G129" s="2"/>
      <x:c r="H129" s="2"/>
      <x:c r="I129" s="2"/>
      <x:c r="J129" s="2"/>
      <x:c r="K129" s="1"/>
      <x:c r="L129" s="1"/>
    </x:row>
    <x:row r="130" ht="21" customHeight="1">
      <x:c r="A130" s="1"/>
      <x:c r="B130" s="1"/>
      <x:c r="C130" s="1"/>
      <x:c r="D130" s="2"/>
      <x:c r="E130" s="2"/>
      <x:c r="F130" s="2"/>
      <x:c r="G130" s="2"/>
      <x:c r="H130" s="2"/>
      <x:c r="I130" s="2"/>
      <x:c r="J130" s="2"/>
      <x:c r="K130" s="1"/>
      <x:c r="L130" s="1"/>
    </x:row>
    <x:row r="131" ht="21" customHeight="1">
      <x:c r="A131" s="1"/>
      <x:c r="B131" s="1"/>
      <x:c r="C131" s="1"/>
      <x:c r="D131" s="2"/>
      <x:c r="E131" s="2"/>
      <x:c r="F131" s="2"/>
      <x:c r="G131" s="2"/>
      <x:c r="H131" s="2"/>
      <x:c r="I131" s="2"/>
      <x:c r="J131" s="2"/>
      <x:c r="K131" s="1"/>
      <x:c r="L131" s="1"/>
    </x:row>
    <x:row r="132" ht="21" customHeight="1">
      <x:c r="A132" s="1"/>
      <x:c r="B132" s="1"/>
      <x:c r="C132" s="1"/>
      <x:c r="D132" s="2"/>
      <x:c r="E132" s="2"/>
      <x:c r="F132" s="2"/>
      <x:c r="G132" s="2"/>
      <x:c r="H132" s="2"/>
      <x:c r="I132" s="2"/>
      <x:c r="J132" s="2"/>
      <x:c r="K132" s="1"/>
      <x:c r="L132" s="1"/>
    </x:row>
    <x:row r="133" ht="21" customHeight="1">
      <x:c r="A133" s="1"/>
      <x:c r="B133" s="1"/>
      <x:c r="C133" s="1"/>
      <x:c r="D133" s="2"/>
      <x:c r="E133" s="2"/>
      <x:c r="F133" s="2"/>
      <x:c r="G133" s="2"/>
      <x:c r="H133" s="2"/>
      <x:c r="I133" s="2"/>
      <x:c r="J133" s="2"/>
      <x:c r="K133" s="1"/>
      <x:c r="L133" s="1"/>
    </x:row>
    <x:row r="134" ht="21" customHeight="1">
      <x:c r="A134" s="1"/>
      <x:c r="B134" s="1"/>
      <x:c r="C134" s="1"/>
      <x:c r="D134" s="2"/>
      <x:c r="E134" s="2"/>
      <x:c r="F134" s="2"/>
      <x:c r="G134" s="2"/>
      <x:c r="H134" s="2"/>
      <x:c r="I134" s="2"/>
      <x:c r="J134" s="2"/>
      <x:c r="K134" s="1"/>
      <x:c r="L134" s="1"/>
    </x:row>
    <x:row r="135" ht="21" customHeight="1">
      <x:c r="A135" s="1"/>
      <x:c r="B135" s="1"/>
      <x:c r="C135" s="1"/>
      <x:c r="D135" s="2"/>
      <x:c r="E135" s="2"/>
      <x:c r="F135" s="2"/>
      <x:c r="G135" s="2"/>
      <x:c r="H135" s="2"/>
      <x:c r="I135" s="2"/>
      <x:c r="J135" s="2"/>
      <x:c r="K135" s="1"/>
      <x:c r="L135" s="1"/>
    </x:row>
    <x:row r="136" ht="21" customHeight="1">
      <x:c r="A136" s="1"/>
      <x:c r="B136" s="1"/>
      <x:c r="C136" s="1"/>
      <x:c r="D136" s="2"/>
      <x:c r="E136" s="2"/>
      <x:c r="F136" s="2"/>
      <x:c r="G136" s="2"/>
      <x:c r="H136" s="2"/>
      <x:c r="I136" s="2"/>
      <x:c r="J136" s="2"/>
      <x:c r="K136" s="1"/>
      <x:c r="L136" s="1"/>
    </x:row>
    <x:row r="137" ht="21" customHeight="1">
      <x:c r="A137" s="1"/>
      <x:c r="B137" s="1"/>
      <x:c r="C137" s="1"/>
      <x:c r="D137" s="2"/>
      <x:c r="E137" s="2"/>
      <x:c r="F137" s="2"/>
      <x:c r="G137" s="2"/>
      <x:c r="H137" s="2"/>
      <x:c r="I137" s="2"/>
      <x:c r="J137" s="2"/>
      <x:c r="K137" s="1"/>
      <x:c r="L137" s="1"/>
    </x:row>
    <x:row r="138" ht="21" customHeight="1">
      <x:c r="A138" s="1"/>
      <x:c r="B138" s="1"/>
      <x:c r="C138" s="1"/>
      <x:c r="D138" s="2"/>
      <x:c r="E138" s="2"/>
      <x:c r="F138" s="2"/>
      <x:c r="G138" s="2"/>
      <x:c r="H138" s="2"/>
      <x:c r="I138" s="2"/>
      <x:c r="J138" s="2"/>
      <x:c r="K138" s="1"/>
      <x:c r="L138" s="1"/>
    </x:row>
    <x:row r="139" ht="21" customHeight="1">
      <x:c r="A139" s="1"/>
      <x:c r="B139" s="1"/>
      <x:c r="C139" s="1"/>
      <x:c r="D139" s="2"/>
      <x:c r="E139" s="2"/>
      <x:c r="F139" s="2"/>
      <x:c r="G139" s="2"/>
      <x:c r="H139" s="2"/>
      <x:c r="I139" s="2"/>
      <x:c r="J139" s="2"/>
      <x:c r="K139" s="1"/>
      <x:c r="L139" s="1"/>
    </x:row>
    <x:row r="140" ht="21" customHeight="1">
      <x:c r="A140" s="1"/>
      <x:c r="B140" s="1"/>
      <x:c r="C140" s="1"/>
      <x:c r="D140" s="2"/>
      <x:c r="E140" s="2"/>
      <x:c r="F140" s="2"/>
      <x:c r="G140" s="2"/>
      <x:c r="H140" s="2"/>
      <x:c r="I140" s="2"/>
      <x:c r="J140" s="2"/>
      <x:c r="K140" s="1"/>
      <x:c r="L140" s="1"/>
    </x:row>
    <x:row r="141" ht="21" customHeight="1">
      <x:c r="A141" s="1"/>
      <x:c r="B141" s="1"/>
      <x:c r="C141" s="1"/>
      <x:c r="D141" s="2"/>
      <x:c r="E141" s="2"/>
      <x:c r="F141" s="2"/>
      <x:c r="G141" s="2"/>
      <x:c r="H141" s="2"/>
      <x:c r="I141" s="2"/>
      <x:c r="J141" s="2"/>
      <x:c r="K141" s="1"/>
      <x:c r="L141" s="1"/>
    </x:row>
    <x:row r="142" ht="21" customHeight="1">
      <x:c r="A142" s="1"/>
      <x:c r="B142" s="1"/>
      <x:c r="C142" s="1"/>
      <x:c r="D142" s="2"/>
      <x:c r="E142" s="2"/>
      <x:c r="F142" s="2"/>
      <x:c r="G142" s="2"/>
      <x:c r="H142" s="2"/>
      <x:c r="I142" s="2"/>
      <x:c r="J142" s="2"/>
      <x:c r="K142" s="1"/>
      <x:c r="L142" s="1"/>
    </x:row>
    <x:row r="143" ht="21" customHeight="1">
      <x:c r="A143" s="1"/>
      <x:c r="B143" s="1"/>
      <x:c r="C143" s="1"/>
      <x:c r="D143" s="2"/>
      <x:c r="E143" s="2"/>
      <x:c r="F143" s="2"/>
      <x:c r="G143" s="2"/>
      <x:c r="H143" s="2"/>
      <x:c r="I143" s="2"/>
      <x:c r="J143" s="2"/>
      <x:c r="K143" s="1"/>
      <x:c r="L143" s="1"/>
    </x:row>
    <x:row r="144" ht="21" customHeight="1">
      <x:c r="A144" s="1"/>
      <x:c r="B144" s="1"/>
      <x:c r="C144" s="1"/>
      <x:c r="D144" s="2"/>
      <x:c r="E144" s="2"/>
      <x:c r="F144" s="2"/>
      <x:c r="G144" s="2"/>
      <x:c r="H144" s="2"/>
      <x:c r="I144" s="2"/>
      <x:c r="J144" s="2"/>
      <x:c r="K144" s="1"/>
      <x:c r="L144" s="1"/>
    </x:row>
    <x:row r="145" ht="21" customHeight="1">
      <x:c r="A145" s="1"/>
      <x:c r="B145" s="1"/>
      <x:c r="C145" s="1"/>
      <x:c r="D145" s="2"/>
      <x:c r="E145" s="2"/>
      <x:c r="F145" s="2"/>
      <x:c r="G145" s="2"/>
      <x:c r="H145" s="2"/>
      <x:c r="I145" s="2"/>
      <x:c r="J145" s="2"/>
      <x:c r="K145" s="1"/>
      <x:c r="L145" s="1"/>
    </x:row>
    <x:row r="146" ht="21" customHeight="1">
      <x:c r="A146" s="1"/>
      <x:c r="B146" s="1"/>
      <x:c r="C146" s="1"/>
      <x:c r="D146" s="2"/>
      <x:c r="E146" s="2"/>
      <x:c r="F146" s="2"/>
      <x:c r="G146" s="2"/>
      <x:c r="H146" s="2"/>
      <x:c r="I146" s="2"/>
      <x:c r="J146" s="2"/>
      <x:c r="K146" s="1"/>
      <x:c r="L146" s="1"/>
    </x:row>
    <x:row r="147" ht="21" customHeight="1">
      <x:c r="A147" s="1"/>
      <x:c r="B147" s="1"/>
      <x:c r="C147" s="1"/>
      <x:c r="D147" s="2"/>
      <x:c r="E147" s="2"/>
      <x:c r="F147" s="2"/>
      <x:c r="G147" s="2"/>
      <x:c r="H147" s="2"/>
      <x:c r="I147" s="2"/>
      <x:c r="J147" s="2"/>
      <x:c r="K147" s="1"/>
      <x:c r="L147" s="1"/>
    </x:row>
    <x:row r="148" ht="21" customHeight="1">
      <x:c r="A148" s="1"/>
      <x:c r="B148" s="1"/>
      <x:c r="C148" s="1"/>
      <x:c r="D148" s="2"/>
      <x:c r="E148" s="2"/>
      <x:c r="F148" s="2"/>
      <x:c r="G148" s="2"/>
      <x:c r="H148" s="2"/>
      <x:c r="I148" s="2"/>
      <x:c r="J148" s="2"/>
      <x:c r="K148" s="1"/>
      <x:c r="L148" s="1"/>
    </x:row>
    <x:row r="149" ht="21" customHeight="1">
      <x:c r="A149" s="1"/>
      <x:c r="B149" s="1"/>
      <x:c r="C149" s="1"/>
      <x:c r="D149" s="2"/>
      <x:c r="E149" s="2"/>
      <x:c r="F149" s="2"/>
      <x:c r="G149" s="2"/>
      <x:c r="H149" s="2"/>
      <x:c r="I149" s="2"/>
      <x:c r="J149" s="2"/>
      <x:c r="K149" s="1"/>
      <x:c r="L149" s="1"/>
    </x:row>
    <x:row r="150" ht="21" customHeight="1">
      <x:c r="A150" s="1"/>
      <x:c r="B150" s="1"/>
      <x:c r="C150" s="1"/>
      <x:c r="D150" s="2"/>
      <x:c r="E150" s="2"/>
      <x:c r="F150" s="2"/>
      <x:c r="G150" s="2"/>
      <x:c r="H150" s="2"/>
      <x:c r="I150" s="2"/>
      <x:c r="J150" s="2"/>
      <x:c r="K150" s="1"/>
      <x:c r="L150" s="1"/>
    </x:row>
    <x:row r="151" ht="21" customHeight="1">
      <x:c r="A151" s="1"/>
      <x:c r="B151" s="1"/>
      <x:c r="C151" s="1"/>
      <x:c r="D151" s="2"/>
      <x:c r="E151" s="2"/>
      <x:c r="F151" s="2"/>
      <x:c r="G151" s="2"/>
      <x:c r="H151" s="2"/>
      <x:c r="I151" s="2"/>
      <x:c r="J151" s="2"/>
      <x:c r="K151" s="1"/>
      <x:c r="L151" s="1"/>
    </x:row>
    <x:row r="152" ht="21" customHeight="1">
      <x:c r="A152" s="1"/>
      <x:c r="B152" s="1"/>
      <x:c r="C152" s="1"/>
      <x:c r="D152" s="2"/>
      <x:c r="E152" s="2"/>
      <x:c r="F152" s="2"/>
      <x:c r="G152" s="2"/>
      <x:c r="H152" s="2"/>
      <x:c r="I152" s="2"/>
      <x:c r="J152" s="2"/>
      <x:c r="K152" s="1"/>
      <x:c r="L152" s="1"/>
    </x:row>
    <x:row r="153" ht="21" customHeight="1">
      <x:c r="A153" s="1"/>
      <x:c r="B153" s="1"/>
      <x:c r="C153" s="1"/>
      <x:c r="D153" s="2"/>
      <x:c r="E153" s="2"/>
      <x:c r="F153" s="2"/>
      <x:c r="G153" s="2"/>
      <x:c r="H153" s="2"/>
      <x:c r="I153" s="2"/>
      <x:c r="J153" s="2"/>
      <x:c r="K153" s="1"/>
      <x:c r="L153" s="1"/>
    </x:row>
    <x:row r="154" ht="21" customHeight="1">
      <x:c r="A154" s="1"/>
      <x:c r="B154" s="1"/>
      <x:c r="C154" s="1"/>
      <x:c r="D154" s="2"/>
      <x:c r="E154" s="2"/>
      <x:c r="F154" s="2"/>
      <x:c r="G154" s="2"/>
      <x:c r="H154" s="2"/>
      <x:c r="I154" s="2"/>
      <x:c r="J154" s="2"/>
      <x:c r="K154" s="1"/>
      <x:c r="L154" s="1"/>
    </x:row>
    <x:row r="155" ht="21" customHeight="1">
      <x:c r="A155" s="1"/>
      <x:c r="B155" s="1"/>
      <x:c r="C155" s="1"/>
      <x:c r="D155" s="2"/>
      <x:c r="E155" s="2"/>
      <x:c r="F155" s="2"/>
      <x:c r="G155" s="2"/>
      <x:c r="H155" s="2"/>
      <x:c r="I155" s="2"/>
      <x:c r="J155" s="2"/>
      <x:c r="K155" s="1"/>
      <x:c r="L155" s="1"/>
    </x:row>
    <x:row r="156" ht="21" customHeight="1">
      <x:c r="A156" s="1"/>
      <x:c r="B156" s="1"/>
      <x:c r="C156" s="1"/>
      <x:c r="D156" s="2"/>
      <x:c r="E156" s="2"/>
      <x:c r="F156" s="2"/>
      <x:c r="G156" s="2"/>
      <x:c r="H156" s="2"/>
      <x:c r="I156" s="2"/>
      <x:c r="J156" s="2"/>
      <x:c r="K156" s="1"/>
      <x:c r="L156" s="1"/>
    </x:row>
    <x:row r="157" ht="21" customHeight="1">
      <x:c r="A157" s="1"/>
      <x:c r="B157" s="1"/>
      <x:c r="C157" s="1"/>
      <x:c r="D157" s="2"/>
      <x:c r="E157" s="2"/>
      <x:c r="F157" s="2"/>
      <x:c r="G157" s="2"/>
      <x:c r="H157" s="2"/>
      <x:c r="I157" s="2"/>
      <x:c r="J157" s="2"/>
      <x:c r="K157" s="1"/>
      <x:c r="L157" s="1"/>
    </x:row>
    <x:row r="158" ht="21" customHeight="1">
      <x:c r="A158" s="1"/>
      <x:c r="B158" s="1"/>
      <x:c r="C158" s="1"/>
      <x:c r="D158" s="2"/>
      <x:c r="E158" s="2"/>
      <x:c r="F158" s="2"/>
      <x:c r="G158" s="2"/>
      <x:c r="H158" s="2"/>
      <x:c r="I158" s="2"/>
      <x:c r="J158" s="2"/>
      <x:c r="K158" s="1"/>
      <x:c r="L158" s="1"/>
    </x:row>
    <x:row r="159" ht="21" customHeight="1">
      <x:c r="A159" s="1"/>
      <x:c r="B159" s="1"/>
      <x:c r="C159" s="1"/>
      <x:c r="D159" s="2"/>
      <x:c r="E159" s="2"/>
      <x:c r="F159" s="2"/>
      <x:c r="G159" s="2"/>
      <x:c r="H159" s="2"/>
      <x:c r="I159" s="2"/>
      <x:c r="J159" s="2"/>
      <x:c r="K159" s="1"/>
      <x:c r="L159" s="1"/>
    </x:row>
    <x:row r="160" ht="21" customHeight="1">
      <x:c r="A160" s="1"/>
      <x:c r="B160" s="1"/>
      <x:c r="C160" s="1"/>
      <x:c r="D160" s="2"/>
      <x:c r="E160" s="2"/>
      <x:c r="F160" s="2"/>
      <x:c r="G160" s="2"/>
      <x:c r="H160" s="2"/>
      <x:c r="I160" s="2"/>
      <x:c r="J160" s="2"/>
      <x:c r="K160" s="1"/>
      <x:c r="L160" s="1"/>
    </x:row>
    <x:row r="161" ht="21" customHeight="1">
      <x:c r="A161" s="1"/>
      <x:c r="B161" s="1"/>
      <x:c r="C161" s="1"/>
      <x:c r="D161" s="2"/>
      <x:c r="E161" s="2"/>
      <x:c r="F161" s="2"/>
      <x:c r="G161" s="2"/>
      <x:c r="H161" s="2"/>
      <x:c r="I161" s="2"/>
      <x:c r="J161" s="2"/>
      <x:c r="K161" s="1"/>
      <x:c r="L161" s="1"/>
    </x:row>
    <x:row r="162" ht="21" customHeight="1">
      <x:c r="A162" s="1"/>
      <x:c r="B162" s="1"/>
      <x:c r="C162" s="1"/>
      <x:c r="D162" s="2"/>
      <x:c r="E162" s="2"/>
      <x:c r="F162" s="2"/>
      <x:c r="G162" s="2"/>
      <x:c r="H162" s="2"/>
      <x:c r="I162" s="2"/>
      <x:c r="J162" s="2"/>
      <x:c r="K162" s="1"/>
      <x:c r="L162" s="1"/>
    </x:row>
    <x:row r="163" ht="21" customHeight="1">
      <x:c r="A163" s="1"/>
      <x:c r="B163" s="1"/>
      <x:c r="C163" s="1"/>
      <x:c r="D163" s="2"/>
      <x:c r="E163" s="2"/>
      <x:c r="F163" s="2"/>
      <x:c r="G163" s="2"/>
      <x:c r="H163" s="2"/>
      <x:c r="I163" s="2"/>
      <x:c r="J163" s="2"/>
      <x:c r="K163" s="1"/>
      <x:c r="L163" s="1"/>
    </x:row>
    <x:row r="164" ht="21" customHeight="1">
      <x:c r="A164" s="1"/>
      <x:c r="B164" s="1"/>
      <x:c r="C164" s="1"/>
      <x:c r="D164" s="2"/>
      <x:c r="E164" s="2"/>
      <x:c r="F164" s="2"/>
      <x:c r="G164" s="2"/>
      <x:c r="H164" s="2"/>
      <x:c r="I164" s="2"/>
      <x:c r="J164" s="2"/>
      <x:c r="K164" s="1"/>
      <x:c r="L164" s="1"/>
    </x:row>
    <x:row r="165" ht="21" customHeight="1">
      <x:c r="A165" s="1"/>
      <x:c r="B165" s="1"/>
      <x:c r="C165" s="1"/>
      <x:c r="D165" s="2"/>
      <x:c r="E165" s="2"/>
      <x:c r="F165" s="2"/>
      <x:c r="G165" s="2"/>
      <x:c r="H165" s="2"/>
      <x:c r="I165" s="2"/>
      <x:c r="J165" s="2"/>
      <x:c r="K165" s="1"/>
      <x:c r="L165" s="1"/>
    </x:row>
    <x:row r="166" ht="21" customHeight="1">
      <x:c r="A166" s="1"/>
      <x:c r="B166" s="1"/>
      <x:c r="C166" s="1"/>
      <x:c r="D166" s="2"/>
      <x:c r="E166" s="2"/>
      <x:c r="F166" s="2"/>
      <x:c r="G166" s="2"/>
      <x:c r="H166" s="2"/>
      <x:c r="I166" s="2"/>
      <x:c r="J166" s="2"/>
      <x:c r="K166" s="1"/>
      <x:c r="L166" s="1"/>
    </x:row>
    <x:row r="167" ht="21" customHeight="1">
      <x:c r="A167" s="1"/>
      <x:c r="B167" s="1"/>
      <x:c r="C167" s="1"/>
      <x:c r="D167" s="2"/>
      <x:c r="E167" s="2"/>
      <x:c r="F167" s="2"/>
      <x:c r="G167" s="2"/>
      <x:c r="H167" s="2"/>
      <x:c r="I167" s="2"/>
      <x:c r="J167" s="2"/>
      <x:c r="K167" s="1"/>
      <x:c r="L167" s="1"/>
    </x:row>
    <x:row r="168" ht="21" customHeight="1">
      <x:c r="A168" s="1"/>
      <x:c r="B168" s="1"/>
      <x:c r="C168" s="1"/>
      <x:c r="D168" s="2"/>
      <x:c r="E168" s="2"/>
      <x:c r="F168" s="2"/>
      <x:c r="G168" s="2"/>
      <x:c r="H168" s="2"/>
      <x:c r="I168" s="2"/>
      <x:c r="J168" s="2"/>
      <x:c r="K168" s="1"/>
      <x:c r="L168" s="1"/>
    </x:row>
    <x:row r="169" ht="21" customHeight="1">
      <x:c r="A169" s="1"/>
      <x:c r="B169" s="1"/>
      <x:c r="C169" s="1"/>
      <x:c r="D169" s="2"/>
      <x:c r="E169" s="2"/>
      <x:c r="F169" s="2"/>
      <x:c r="G169" s="2"/>
      <x:c r="H169" s="2"/>
      <x:c r="I169" s="2"/>
      <x:c r="J169" s="2"/>
      <x:c r="K169" s="1"/>
      <x:c r="L169" s="1"/>
    </x:row>
    <x:row r="170" ht="21" customHeight="1">
      <x:c r="A170" s="1"/>
      <x:c r="B170" s="1"/>
      <x:c r="C170" s="1"/>
      <x:c r="D170" s="2"/>
      <x:c r="E170" s="2"/>
      <x:c r="F170" s="2"/>
      <x:c r="G170" s="2"/>
      <x:c r="H170" s="2"/>
      <x:c r="I170" s="2"/>
      <x:c r="J170" s="2"/>
      <x:c r="K170" s="1"/>
      <x:c r="L170" s="1"/>
    </x:row>
    <x:row r="171" ht="21" customHeight="1">
      <x:c r="A171" s="1"/>
      <x:c r="B171" s="1"/>
      <x:c r="C171" s="1"/>
      <x:c r="D171" s="2"/>
      <x:c r="E171" s="2"/>
      <x:c r="F171" s="2"/>
      <x:c r="G171" s="2"/>
      <x:c r="H171" s="2"/>
      <x:c r="I171" s="2"/>
      <x:c r="J171" s="2"/>
      <x:c r="K171" s="1"/>
      <x:c r="L171" s="1"/>
    </x:row>
    <x:row r="172" ht="21" customHeight="1">
      <x:c r="A172" s="1"/>
      <x:c r="B172" s="1"/>
      <x:c r="C172" s="1"/>
      <x:c r="D172" s="2"/>
      <x:c r="E172" s="2"/>
      <x:c r="F172" s="2"/>
      <x:c r="G172" s="2"/>
      <x:c r="H172" s="2"/>
      <x:c r="I172" s="2"/>
      <x:c r="J172" s="2"/>
      <x:c r="K172" s="1"/>
      <x:c r="L172" s="1"/>
    </x:row>
    <x:row r="173" ht="21" customHeight="1">
      <x:c r="A173" s="1"/>
      <x:c r="B173" s="1"/>
      <x:c r="C173" s="1"/>
      <x:c r="D173" s="2"/>
      <x:c r="E173" s="2"/>
      <x:c r="F173" s="2"/>
      <x:c r="G173" s="2"/>
      <x:c r="H173" s="2"/>
      <x:c r="I173" s="2"/>
      <x:c r="J173" s="2"/>
      <x:c r="K173" s="1"/>
      <x:c r="L173" s="1"/>
    </x:row>
    <x:row r="174" ht="21" customHeight="1">
      <x:c r="A174" s="1"/>
      <x:c r="B174" s="1"/>
      <x:c r="C174" s="1"/>
      <x:c r="D174" s="2"/>
      <x:c r="E174" s="2"/>
      <x:c r="F174" s="2"/>
      <x:c r="G174" s="2"/>
      <x:c r="H174" s="2"/>
      <x:c r="I174" s="2"/>
      <x:c r="J174" s="2"/>
      <x:c r="K174" s="1"/>
      <x:c r="L174" s="1"/>
    </x:row>
    <x:row r="175" ht="21" customHeight="1">
      <x:c r="A175" s="1"/>
      <x:c r="B175" s="1"/>
      <x:c r="C175" s="1"/>
      <x:c r="D175" s="2"/>
      <x:c r="E175" s="2"/>
      <x:c r="F175" s="2"/>
      <x:c r="G175" s="2"/>
      <x:c r="H175" s="2"/>
      <x:c r="I175" s="2"/>
      <x:c r="J175" s="2"/>
      <x:c r="K175" s="1"/>
      <x:c r="L175" s="1"/>
    </x:row>
    <x:row r="176" ht="21" customHeight="1">
      <x:c r="A176" s="1"/>
      <x:c r="B176" s="1"/>
      <x:c r="C176" s="1"/>
      <x:c r="D176" s="2"/>
      <x:c r="E176" s="2"/>
      <x:c r="F176" s="2"/>
      <x:c r="G176" s="2"/>
      <x:c r="H176" s="2"/>
      <x:c r="I176" s="2"/>
      <x:c r="J176" s="2"/>
      <x:c r="K176" s="1"/>
      <x:c r="L176" s="1"/>
    </x:row>
    <x:row r="177" ht="21" customHeight="1">
      <x:c r="A177" s="1"/>
      <x:c r="B177" s="1"/>
      <x:c r="C177" s="1"/>
      <x:c r="D177" s="2"/>
      <x:c r="E177" s="2"/>
      <x:c r="F177" s="2"/>
      <x:c r="G177" s="2"/>
      <x:c r="H177" s="2"/>
      <x:c r="I177" s="2"/>
      <x:c r="J177" s="2"/>
      <x:c r="K177" s="1"/>
      <x:c r="L177" s="1"/>
    </x:row>
    <x:row r="178" ht="21" customHeight="1">
      <x:c r="A178" s="1"/>
      <x:c r="B178" s="1"/>
      <x:c r="C178" s="1"/>
      <x:c r="D178" s="2"/>
      <x:c r="E178" s="2"/>
      <x:c r="F178" s="2"/>
      <x:c r="G178" s="2"/>
      <x:c r="H178" s="2"/>
      <x:c r="I178" s="2"/>
      <x:c r="J178" s="2"/>
      <x:c r="K178" s="1"/>
      <x:c r="L178" s="1"/>
    </x:row>
    <x:row r="179" ht="21" customHeight="1">
      <x:c r="A179" s="1"/>
      <x:c r="B179" s="1"/>
      <x:c r="C179" s="1"/>
      <x:c r="D179" s="2"/>
      <x:c r="E179" s="2"/>
      <x:c r="F179" s="2"/>
      <x:c r="G179" s="2"/>
      <x:c r="H179" s="2"/>
      <x:c r="I179" s="2"/>
      <x:c r="J179" s="2"/>
      <x:c r="K179" s="1"/>
      <x:c r="L179" s="1"/>
    </x:row>
    <x:row r="180" ht="21" customHeight="1">
      <x:c r="A180" s="1"/>
      <x:c r="B180" s="1"/>
      <x:c r="C180" s="1"/>
      <x:c r="D180" s="2"/>
      <x:c r="E180" s="2"/>
      <x:c r="F180" s="2"/>
      <x:c r="G180" s="2"/>
      <x:c r="H180" s="2"/>
      <x:c r="I180" s="2"/>
      <x:c r="J180" s="2"/>
      <x:c r="K180" s="1"/>
      <x:c r="L180" s="1"/>
    </x:row>
    <x:row r="181" ht="21" customHeight="1">
      <x:c r="A181" s="1"/>
      <x:c r="B181" s="1"/>
      <x:c r="C181" s="1"/>
      <x:c r="D181" s="2"/>
      <x:c r="E181" s="2"/>
      <x:c r="F181" s="2"/>
      <x:c r="G181" s="2"/>
      <x:c r="H181" s="2"/>
      <x:c r="I181" s="2"/>
      <x:c r="J181" s="2"/>
      <x:c r="K181" s="1"/>
      <x:c r="L181" s="1"/>
    </x:row>
    <x:row r="182" ht="21" customHeight="1">
      <x:c r="A182" s="1"/>
      <x:c r="B182" s="1"/>
      <x:c r="C182" s="1"/>
      <x:c r="D182" s="2"/>
      <x:c r="E182" s="2"/>
      <x:c r="F182" s="2"/>
      <x:c r="G182" s="2"/>
      <x:c r="H182" s="2"/>
      <x:c r="I182" s="2"/>
      <x:c r="J182" s="2"/>
      <x:c r="K182" s="1"/>
      <x:c r="L182" s="1"/>
    </x:row>
    <x:row r="183" ht="21" customHeight="1">
      <x:c r="A183" s="1"/>
      <x:c r="B183" s="1"/>
      <x:c r="C183" s="1"/>
      <x:c r="D183" s="2"/>
      <x:c r="E183" s="2"/>
      <x:c r="F183" s="2"/>
      <x:c r="G183" s="2"/>
      <x:c r="H183" s="2"/>
      <x:c r="I183" s="2"/>
      <x:c r="J183" s="2"/>
      <x:c r="K183" s="1"/>
      <x:c r="L183" s="1"/>
    </x:row>
    <x:row r="184" ht="21" customHeight="1">
      <x:c r="A184" s="1"/>
      <x:c r="B184" s="1"/>
      <x:c r="C184" s="1"/>
      <x:c r="D184" s="2"/>
      <x:c r="E184" s="2"/>
      <x:c r="F184" s="2"/>
      <x:c r="G184" s="2"/>
      <x:c r="H184" s="2"/>
      <x:c r="I184" s="2"/>
      <x:c r="J184" s="2"/>
      <x:c r="K184" s="1"/>
      <x:c r="L184" s="1"/>
    </x:row>
    <x:row r="185" ht="21" customHeight="1">
      <x:c r="A185" s="1"/>
      <x:c r="B185" s="1"/>
      <x:c r="C185" s="1"/>
      <x:c r="D185" s="2"/>
      <x:c r="E185" s="2"/>
      <x:c r="F185" s="2"/>
      <x:c r="G185" s="2"/>
      <x:c r="H185" s="2"/>
      <x:c r="I185" s="2"/>
      <x:c r="J185" s="2"/>
      <x:c r="K185" s="1"/>
      <x:c r="L185" s="1"/>
    </x:row>
    <x:row r="186" ht="21" customHeight="1">
      <x:c r="A186" s="1"/>
      <x:c r="B186" s="1"/>
      <x:c r="C186" s="1"/>
      <x:c r="D186" s="2"/>
      <x:c r="E186" s="2"/>
      <x:c r="F186" s="2"/>
      <x:c r="G186" s="2"/>
      <x:c r="H186" s="2"/>
      <x:c r="I186" s="2"/>
      <x:c r="J186" s="2"/>
      <x:c r="K186" s="1"/>
      <x:c r="L186" s="1"/>
    </x:row>
    <x:row r="187" ht="21" customHeight="1">
      <x:c r="A187" s="1"/>
      <x:c r="B187" s="1"/>
      <x:c r="C187" s="1"/>
      <x:c r="D187" s="2"/>
      <x:c r="E187" s="2"/>
      <x:c r="F187" s="2"/>
      <x:c r="G187" s="2"/>
      <x:c r="H187" s="2"/>
      <x:c r="I187" s="2"/>
      <x:c r="J187" s="2"/>
      <x:c r="K187" s="1"/>
      <x:c r="L187" s="1"/>
    </x:row>
    <x:row r="188" ht="21" customHeight="1">
      <x:c r="A188" s="1"/>
      <x:c r="B188" s="1"/>
      <x:c r="C188" s="1"/>
      <x:c r="D188" s="2"/>
      <x:c r="E188" s="2"/>
      <x:c r="F188" s="2"/>
      <x:c r="G188" s="2"/>
      <x:c r="H188" s="2"/>
      <x:c r="I188" s="2"/>
      <x:c r="J188" s="2"/>
      <x:c r="K188" s="1"/>
      <x:c r="L188" s="1"/>
    </x:row>
    <x:row r="189" ht="21" customHeight="1">
      <x:c r="A189" s="1"/>
      <x:c r="B189" s="1"/>
      <x:c r="C189" s="1"/>
      <x:c r="D189" s="2"/>
      <x:c r="E189" s="2"/>
      <x:c r="F189" s="2"/>
      <x:c r="G189" s="2"/>
      <x:c r="H189" s="2"/>
      <x:c r="I189" s="2"/>
      <x:c r="J189" s="2"/>
      <x:c r="K189" s="1"/>
      <x:c r="L189" s="1"/>
    </x:row>
    <x:row r="190" ht="21" customHeight="1">
      <x:c r="A190" s="1"/>
      <x:c r="B190" s="1"/>
      <x:c r="C190" s="1"/>
      <x:c r="D190" s="2"/>
      <x:c r="E190" s="2"/>
      <x:c r="F190" s="2"/>
      <x:c r="G190" s="2"/>
      <x:c r="H190" s="2"/>
      <x:c r="I190" s="2"/>
      <x:c r="J190" s="2"/>
      <x:c r="K190" s="1"/>
      <x:c r="L190" s="1"/>
    </x:row>
    <x:row r="191" ht="21" customHeight="1">
      <x:c r="A191" s="1"/>
      <x:c r="B191" s="1"/>
      <x:c r="C191" s="1"/>
      <x:c r="D191" s="2"/>
      <x:c r="E191" s="2"/>
      <x:c r="F191" s="2"/>
      <x:c r="G191" s="2"/>
      <x:c r="H191" s="2"/>
      <x:c r="I191" s="2"/>
      <x:c r="J191" s="2"/>
      <x:c r="K191" s="1"/>
      <x:c r="L191" s="1"/>
    </x:row>
    <x:row r="192" ht="21" customHeight="1">
      <x:c r="A192" s="1"/>
      <x:c r="B192" s="1"/>
      <x:c r="C192" s="1"/>
      <x:c r="D192" s="2"/>
      <x:c r="E192" s="2"/>
      <x:c r="F192" s="2"/>
      <x:c r="G192" s="2"/>
      <x:c r="H192" s="2"/>
      <x:c r="I192" s="2"/>
      <x:c r="J192" s="2"/>
      <x:c r="K192" s="1"/>
      <x:c r="L192" s="1"/>
    </x:row>
    <x:row r="193" ht="21" customHeight="1">
      <x:c r="A193" s="1"/>
      <x:c r="B193" s="1"/>
      <x:c r="C193" s="1"/>
      <x:c r="D193" s="2"/>
      <x:c r="E193" s="2"/>
      <x:c r="F193" s="2"/>
      <x:c r="G193" s="2"/>
      <x:c r="H193" s="2"/>
      <x:c r="I193" s="2"/>
      <x:c r="J193" s="2"/>
      <x:c r="K193" s="1"/>
      <x:c r="L193" s="1"/>
    </x:row>
    <x:row r="194" ht="21" customHeight="1">
      <x:c r="A194" s="1"/>
      <x:c r="B194" s="1"/>
      <x:c r="C194" s="1"/>
      <x:c r="D194" s="2"/>
      <x:c r="E194" s="2"/>
      <x:c r="F194" s="2"/>
      <x:c r="G194" s="2"/>
      <x:c r="H194" s="2"/>
      <x:c r="I194" s="2"/>
      <x:c r="J194" s="2"/>
      <x:c r="K194" s="1"/>
      <x:c r="L194" s="1"/>
    </x:row>
    <x:row r="195" ht="21" customHeight="1">
      <x:c r="A195" s="1"/>
      <x:c r="B195" s="1"/>
      <x:c r="C195" s="1"/>
      <x:c r="D195" s="2"/>
      <x:c r="E195" s="2"/>
      <x:c r="F195" s="2"/>
      <x:c r="G195" s="2"/>
      <x:c r="H195" s="2"/>
      <x:c r="I195" s="2"/>
      <x:c r="J195" s="2"/>
      <x:c r="K195" s="1"/>
      <x:c r="L195" s="1"/>
    </x:row>
    <x:row r="196" ht="21" customHeight="1">
      <x:c r="A196" s="1"/>
      <x:c r="B196" s="1"/>
      <x:c r="C196" s="1"/>
      <x:c r="D196" s="2"/>
      <x:c r="E196" s="2"/>
      <x:c r="F196" s="2"/>
      <x:c r="G196" s="2"/>
      <x:c r="H196" s="2"/>
      <x:c r="I196" s="2"/>
      <x:c r="J196" s="2"/>
      <x:c r="K196" s="1"/>
      <x:c r="L196" s="1"/>
    </x:row>
    <x:row r="197" ht="21" customHeight="1">
      <x:c r="A197" s="1"/>
      <x:c r="B197" s="1"/>
      <x:c r="C197" s="1"/>
      <x:c r="D197" s="2"/>
      <x:c r="E197" s="2"/>
      <x:c r="F197" s="2"/>
      <x:c r="G197" s="2"/>
      <x:c r="H197" s="2"/>
      <x:c r="I197" s="2"/>
      <x:c r="J197" s="2"/>
      <x:c r="K197" s="1"/>
      <x:c r="L197" s="1"/>
    </x:row>
    <x:row r="198" ht="21" customHeight="1">
      <x:c r="A198" s="1"/>
      <x:c r="B198" s="1"/>
      <x:c r="C198" s="1"/>
      <x:c r="D198" s="2"/>
      <x:c r="E198" s="2"/>
      <x:c r="F198" s="2"/>
      <x:c r="G198" s="2"/>
      <x:c r="H198" s="2"/>
      <x:c r="I198" s="2"/>
      <x:c r="J198" s="2"/>
      <x:c r="K198" s="1"/>
      <x:c r="L198" s="1"/>
    </x:row>
    <x:row r="199" ht="21" customHeight="1">
      <x:c r="A199" s="1"/>
      <x:c r="B199" s="1"/>
      <x:c r="C199" s="1"/>
      <x:c r="D199" s="2"/>
      <x:c r="E199" s="2"/>
      <x:c r="F199" s="2"/>
      <x:c r="G199" s="2"/>
      <x:c r="H199" s="2"/>
      <x:c r="I199" s="2"/>
      <x:c r="J199" s="2"/>
      <x:c r="K199" s="1"/>
      <x:c r="L199" s="1"/>
    </x:row>
    <x:row r="200" ht="21" customHeight="1">
      <x:c r="A200" s="1"/>
      <x:c r="B200" s="1"/>
      <x:c r="C200" s="1"/>
      <x:c r="D200" s="2"/>
      <x:c r="E200" s="2"/>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 ref="D23:J23"/>
    <x:mergeCell ref="D24:J24"/>
    <x:mergeCell ref="D25:J25"/>
    <x:mergeCell ref="D26:J26"/>
    <x:mergeCell ref="D27:J27"/>
    <x:mergeCell ref="C30:J33"/>
  </x:mergeCells>
  <x:dataValidations count="5">
    <x:dataValidation type="list" sqref="D6">
      <x:formula1>"0,1"</x:formula1>
    </x:dataValidation>
    <x:dataValidation type="list" sqref="D7">
      <x:formula1>"0,1"</x:formula1>
    </x:dataValidation>
    <x:dataValidation type="list" sqref="D8">
      <x:formula1>"0,1"</x:formula1>
    </x:dataValidation>
    <x:dataValidation type="list" sqref="D9">
      <x:formula1>"0,1"</x:formula1>
    </x:dataValidation>
    <x:dataValidation type="list" sqref="D10">
      <x:formula1>"0,1"</x:formula1>
    </x:dataValidation>
  </x:dataValidations>
  <x:pageMargins left="0.7" right="0.7" top="0.75" bottom="0.75" header="0.3" footer="0.3"/>
</x:worksheet>
</file>

<file path=xl/worksheets/sheet6.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21" hidden="0" customWidth="1"/>
    <x:col min="4" max="4" width="29" hidden="0" customWidth="1"/>
    <x:col min="5" max="5" width="16" hidden="0" customWidth="1"/>
    <x:col min="6" max="6" width="16" hidden="0" customWidth="1"/>
    <x:col min="7" max="7" width="16" hidden="0" customWidth="1"/>
    <x:col min="8" max="8" width="65" hidden="0" customWidth="1"/>
    <x:col min="9" max="9" width="16" hidden="0" customWidth="1"/>
    <x:col min="10" max="10" width="16" hidden="0" customWidth="1"/>
  </x:cols>
  <x:sheetData>
    <x:row r="1" ht="21" customHeight="1">
      <x:c r="A1" s="1"/>
      <x:c r="B1" s="1"/>
      <x:c r="C1" s="4" t="str">
        <x:v>VISTA / Sources</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t="str">
        <x:v>Selected scenario</x:v>
      </x:c>
      <x:c r="D3" s="6" t="str">
        <x:f>Controls!D4</x:f>
        <x:v>Base</x:v>
      </x:c>
      <x:c r="E3" s="1"/>
      <x:c r="F3" s="1"/>
      <x:c r="G3" s="1"/>
      <x:c r="H3" s="1"/>
      <x:c r="I3" s="1"/>
      <x:c r="J3" s="1"/>
      <x:c r="K3" s="1"/>
      <x:c r="L3" s="1"/>
    </x:row>
    <x:row r="4" ht="21" customHeight="1">
      <x:c r="A4" s="1"/>
      <x:c r="B4" s="1"/>
      <x:c r="C4" s="1"/>
      <x:c r="D4" s="2"/>
      <x:c r="E4" s="2"/>
      <x:c r="F4" s="2"/>
      <x:c r="G4" s="2"/>
      <x:c r="H4" s="2"/>
      <x:c r="I4" s="2"/>
      <x:c r="J4" s="2"/>
      <x:c r="K4" s="1"/>
      <x:c r="L4" s="1"/>
    </x:row>
    <x:row r="5" ht="30" customHeight="1">
      <x:c r="A5" s="1"/>
      <x:c r="B5" s="1"/>
      <x:c r="C5" s="33" t="str">
        <x:v>Period</x:v>
      </x:c>
      <x:c r="D5" s="34" t="str">
        <x:v>Metric</x:v>
      </x:c>
      <x:c r="E5" s="34" t="str">
        <x:v>Raw IDR thousand</x:v>
      </x:c>
      <x:c r="F5" s="34" t="str">
        <x:v>Model IDR bn</x:v>
      </x:c>
      <x:c r="G5" s="34" t="str">
        <x:v>PDF page</x:v>
      </x:c>
      <x:c r="H5" s="34" t="str">
        <x:v>File</x:v>
      </x:c>
      <x:c r="I5" s="34" t="str">
        <x:v>Unit</x:v>
      </x:c>
      <x:c r="J5" s="34"/>
      <x:c r="K5" s="1"/>
      <x:c r="L5" s="1"/>
    </x:row>
    <x:row r="6" ht="21" customHeight="1">
      <x:c r="A6" s="1"/>
      <x:c r="B6" s="1"/>
      <x:c r="C6" s="1" t="str">
        <x:v>FY2024R</x:v>
      </x:c>
      <x:c r="D6" s="2" t="str">
        <x:v>revenue</x:v>
      </x:c>
      <x:c r="E6" s="10" t="n">
        <x:v>6031956702</x:v>
      </x:c>
      <x:c r="F6" s="9" t="n">
        <x:f>E6/1000000</x:f>
        <x:v>6031.956702</x:v>
      </x:c>
      <x:c r="G6" s="2" t="n">
        <x:v>29</x:v>
      </x:c>
      <x:c r="H6" s="2" t="str">
        <x:v>PT Darma Henwa Tbk dan Entitas Anak 31 Des 2025.pdf</x:v>
      </x:c>
      <x:c r="I6" s="2" t="str">
        <x:v>IDR thousand</x:v>
      </x:c>
      <x:c r="J6" s="2"/>
      <x:c r="K6" s="1"/>
      <x:c r="L6" s="1"/>
    </x:row>
    <x:row r="7" ht="21" customHeight="1">
      <x:c r="A7" s="1"/>
      <x:c r="B7" s="1"/>
      <x:c r="C7" s="1" t="str">
        <x:v>FY2024R</x:v>
      </x:c>
      <x:c r="D7" s="2" t="str">
        <x:v>cogs</x:v>
      </x:c>
      <x:c r="E7" s="10" t="n">
        <x:v>5592491287</x:v>
      </x:c>
      <x:c r="F7" s="9" t="n">
        <x:f>E7/1000000</x:f>
        <x:v>5592.491287</x:v>
      </x:c>
      <x:c r="G7" s="2" t="n">
        <x:v>29</x:v>
      </x:c>
      <x:c r="H7" s="2" t="str">
        <x:v>PT Darma Henwa Tbk dan Entitas Anak 31 Des 2025.pdf</x:v>
      </x:c>
      <x:c r="I7" s="2" t="str">
        <x:v>IDR thousand</x:v>
      </x:c>
      <x:c r="J7" s="2"/>
      <x:c r="K7" s="1"/>
      <x:c r="L7" s="1"/>
    </x:row>
    <x:row r="8" ht="21" customHeight="1">
      <x:c r="A8" s="1"/>
      <x:c r="B8" s="1"/>
      <x:c r="C8" s="1" t="str">
        <x:v>FY2024R</x:v>
      </x:c>
      <x:c r="D8" s="2" t="str">
        <x:v>gross_profit</x:v>
      </x:c>
      <x:c r="E8" s="10" t="n">
        <x:v>439465415</x:v>
      </x:c>
      <x:c r="F8" s="9" t="n">
        <x:f>E8/1000000</x:f>
        <x:v>439.465415</x:v>
      </x:c>
      <x:c r="G8" s="2" t="n">
        <x:v>29</x:v>
      </x:c>
      <x:c r="H8" s="2" t="str">
        <x:v>PT Darma Henwa Tbk dan Entitas Anak 31 Des 2025.pdf</x:v>
      </x:c>
      <x:c r="I8" s="2" t="str">
        <x:v>IDR thousand</x:v>
      </x:c>
      <x:c r="J8" s="2"/>
      <x:c r="K8" s="1"/>
      <x:c r="L8" s="1"/>
    </x:row>
    <x:row r="9" ht="21" customHeight="1">
      <x:c r="A9" s="1"/>
      <x:c r="B9" s="1"/>
      <x:c r="C9" s="1" t="str">
        <x:v>FY2024R</x:v>
      </x:c>
      <x:c r="D9" s="2" t="str">
        <x:v>sga</x:v>
      </x:c>
      <x:c r="E9" s="10" t="n">
        <x:v>233537259</x:v>
      </x:c>
      <x:c r="F9" s="9" t="n">
        <x:f>E9/1000000</x:f>
        <x:v>233.537259</x:v>
      </x:c>
      <x:c r="G9" s="2" t="n">
        <x:v>29</x:v>
      </x:c>
      <x:c r="H9" s="2" t="str">
        <x:v>PT Darma Henwa Tbk dan Entitas Anak 31 Des 2025.pdf</x:v>
      </x:c>
      <x:c r="I9" s="2" t="str">
        <x:v>IDR thousand</x:v>
      </x:c>
      <x:c r="J9" s="2"/>
      <x:c r="K9" s="1"/>
      <x:c r="L9" s="1"/>
    </x:row>
    <x:row r="10" ht="21" customHeight="1">
      <x:c r="A10" s="1"/>
      <x:c r="B10" s="1"/>
      <x:c r="C10" s="1" t="str">
        <x:v>FY2024R</x:v>
      </x:c>
      <x:c r="D10" s="2" t="str">
        <x:v>finance_income</x:v>
      </x:c>
      <x:c r="E10" s="10" t="n">
        <x:v>4541142</x:v>
      </x:c>
      <x:c r="F10" s="9" t="n">
        <x:f>E10/1000000</x:f>
        <x:v>4.541142</x:v>
      </x:c>
      <x:c r="G10" s="2" t="n">
        <x:v>29</x:v>
      </x:c>
      <x:c r="H10" s="2" t="str">
        <x:v>PT Darma Henwa Tbk dan Entitas Anak 31 Des 2025.pdf</x:v>
      </x:c>
      <x:c r="I10" s="2" t="str">
        <x:v>IDR thousand</x:v>
      </x:c>
      <x:c r="J10" s="2"/>
      <x:c r="K10" s="1"/>
      <x:c r="L10" s="1"/>
    </x:row>
    <x:row r="11" ht="21" customHeight="1">
      <x:c r="A11" s="1"/>
      <x:c r="B11" s="1"/>
      <x:c r="C11" s="1" t="str">
        <x:v>FY2024R</x:v>
      </x:c>
      <x:c r="D11" s="2" t="str">
        <x:v>finance_cost</x:v>
      </x:c>
      <x:c r="E11" s="10" t="n">
        <x:v>85149412</x:v>
      </x:c>
      <x:c r="F11" s="9" t="n">
        <x:f>E11/1000000</x:f>
        <x:v>85.149412</x:v>
      </x:c>
      <x:c r="G11" s="2" t="n">
        <x:v>29</x:v>
      </x:c>
      <x:c r="H11" s="2" t="str">
        <x:v>PT Darma Henwa Tbk dan Entitas Anak 31 Des 2025.pdf</x:v>
      </x:c>
      <x:c r="I11" s="2" t="str">
        <x:v>IDR thousand</x:v>
      </x:c>
      <x:c r="J11" s="2"/>
      <x:c r="K11" s="1"/>
      <x:c r="L11" s="1"/>
    </x:row>
    <x:row r="12" ht="21" customHeight="1">
      <x:c r="A12" s="1"/>
      <x:c r="B12" s="1"/>
      <x:c r="C12" s="1" t="str">
        <x:v>FY2024R</x:v>
      </x:c>
      <x:c r="D12" s="2" t="str">
        <x:v>fx</x:v>
      </x:c>
      <x:c r="E12" s="10" t="n">
        <x:v>-3145583</x:v>
      </x:c>
      <x:c r="F12" s="9" t="n">
        <x:f>E12/1000000</x:f>
        <x:v>-3.145583</x:v>
      </x:c>
      <x:c r="G12" s="2" t="n">
        <x:v>29</x:v>
      </x:c>
      <x:c r="H12" s="2" t="str">
        <x:v>PT Darma Henwa Tbk dan Entitas Anak 31 Des 2025.pdf</x:v>
      </x:c>
      <x:c r="I12" s="2" t="str">
        <x:v>IDR thousand</x:v>
      </x:c>
      <x:c r="J12" s="2"/>
      <x:c r="K12" s="1"/>
      <x:c r="L12" s="1"/>
    </x:row>
    <x:row r="13" ht="21" customHeight="1">
      <x:c r="A13" s="1"/>
      <x:c r="B13" s="1"/>
      <x:c r="C13" s="1" t="str">
        <x:v>FY2024R</x:v>
      </x:c>
      <x:c r="D13" s="2" t="str">
        <x:v>associates</x:v>
      </x:c>
      <x:c r="E13" s="10" t="n">
        <x:v>455466</x:v>
      </x:c>
      <x:c r="F13" s="9" t="n">
        <x:f>E13/1000000</x:f>
        <x:v>0.455466</x:v>
      </x:c>
      <x:c r="G13" s="2" t="n">
        <x:v>29</x:v>
      </x:c>
      <x:c r="H13" s="2" t="str">
        <x:v>PT Darma Henwa Tbk dan Entitas Anak 31 Des 2025.pdf</x:v>
      </x:c>
      <x:c r="I13" s="2" t="str">
        <x:v>IDR thousand</x:v>
      </x:c>
      <x:c r="J13" s="2"/>
      <x:c r="K13" s="1"/>
      <x:c r="L13" s="1"/>
    </x:row>
    <x:row r="14" ht="21" customHeight="1">
      <x:c r="A14" s="1"/>
      <x:c r="B14" s="1"/>
      <x:c r="C14" s="1" t="str">
        <x:v>FY2024R</x:v>
      </x:c>
      <x:c r="D14" s="2" t="str">
        <x:v>final_tax</x:v>
      </x:c>
      <x:c r="E14" s="10" t="n">
        <x:v>21371070</x:v>
      </x:c>
      <x:c r="F14" s="9" t="n">
        <x:f>E14/1000000</x:f>
        <x:v>21.37107</x:v>
      </x:c>
      <x:c r="G14" s="2" t="n">
        <x:v>29</x:v>
      </x:c>
      <x:c r="H14" s="2" t="str">
        <x:v>PT Darma Henwa Tbk dan Entitas Anak 31 Des 2025.pdf</x:v>
      </x:c>
      <x:c r="I14" s="2" t="str">
        <x:v>IDR thousand</x:v>
      </x:c>
      <x:c r="J14" s="2"/>
      <x:c r="K14" s="1"/>
      <x:c r="L14" s="1"/>
    </x:row>
    <x:row r="15" ht="21" customHeight="1">
      <x:c r="A15" s="1"/>
      <x:c r="B15" s="1"/>
      <x:c r="C15" s="1" t="str">
        <x:v>FY2024R</x:v>
      </x:c>
      <x:c r="D15" s="2" t="str">
        <x:v>other</x:v>
      </x:c>
      <x:c r="E15" s="10" t="n">
        <x:v>-6179188</x:v>
      </x:c>
      <x:c r="F15" s="9" t="n">
        <x:f>E15/1000000</x:f>
        <x:v>-6.179188</x:v>
      </x:c>
      <x:c r="G15" s="2" t="n">
        <x:v>29</x:v>
      </x:c>
      <x:c r="H15" s="2" t="str">
        <x:v>PT Darma Henwa Tbk dan Entitas Anak 31 Des 2025.pdf</x:v>
      </x:c>
      <x:c r="I15" s="2" t="str">
        <x:v>IDR thousand</x:v>
      </x:c>
      <x:c r="J15" s="2"/>
      <x:c r="K15" s="1"/>
      <x:c r="L15" s="1"/>
    </x:row>
    <x:row r="16" ht="21" customHeight="1">
      <x:c r="A16" s="1"/>
      <x:c r="B16" s="1"/>
      <x:c r="C16" s="1" t="str">
        <x:v>FY2024R</x:v>
      </x:c>
      <x:c r="D16" s="2" t="str">
        <x:v>pbt</x:v>
      </x:c>
      <x:c r="E16" s="10" t="n">
        <x:v>95079511</x:v>
      </x:c>
      <x:c r="F16" s="9" t="n">
        <x:f>E16/1000000</x:f>
        <x:v>95.079511</x:v>
      </x:c>
      <x:c r="G16" s="2" t="n">
        <x:v>29</x:v>
      </x:c>
      <x:c r="H16" s="2" t="str">
        <x:v>PT Darma Henwa Tbk dan Entitas Anak 31 Des 2025.pdf</x:v>
      </x:c>
      <x:c r="I16" s="2" t="str">
        <x:v>IDR thousand</x:v>
      </x:c>
      <x:c r="J16" s="2"/>
      <x:c r="K16" s="1"/>
      <x:c r="L16" s="1"/>
    </x:row>
    <x:row r="17" ht="21" customHeight="1">
      <x:c r="A17" s="1"/>
      <x:c r="B17" s="1"/>
      <x:c r="C17" s="1" t="str">
        <x:v>FY2024R</x:v>
      </x:c>
      <x:c r="D17" s="2" t="str">
        <x:v>tax_expense</x:v>
      </x:c>
      <x:c r="E17" s="10" t="n">
        <x:v>39834786</x:v>
      </x:c>
      <x:c r="F17" s="9" t="n">
        <x:f>E17/1000000</x:f>
        <x:v>39.834786</x:v>
      </x:c>
      <x:c r="G17" s="2" t="n">
        <x:v>29</x:v>
      </x:c>
      <x:c r="H17" s="2" t="str">
        <x:v>PT Darma Henwa Tbk dan Entitas Anak 31 Des 2025.pdf</x:v>
      </x:c>
      <x:c r="I17" s="2" t="str">
        <x:v>IDR thousand</x:v>
      </x:c>
      <x:c r="J17" s="2"/>
      <x:c r="K17" s="1"/>
      <x:c r="L17" s="1"/>
    </x:row>
    <x:row r="18" ht="21" customHeight="1">
      <x:c r="A18" s="1"/>
      <x:c r="B18" s="1"/>
      <x:c r="C18" s="1" t="str">
        <x:v>FY2024R</x:v>
      </x:c>
      <x:c r="D18" s="2" t="str">
        <x:v>net_income</x:v>
      </x:c>
      <x:c r="E18" s="10" t="n">
        <x:v>55244725</x:v>
      </x:c>
      <x:c r="F18" s="9" t="n">
        <x:f>E18/1000000</x:f>
        <x:v>55.244725</x:v>
      </x:c>
      <x:c r="G18" s="2" t="n">
        <x:v>29</x:v>
      </x:c>
      <x:c r="H18" s="2" t="str">
        <x:v>PT Darma Henwa Tbk dan Entitas Anak 31 Des 2025.pdf</x:v>
      </x:c>
      <x:c r="I18" s="2" t="str">
        <x:v>IDR thousand</x:v>
      </x:c>
      <x:c r="J18" s="2"/>
      <x:c r="K18" s="1"/>
      <x:c r="L18" s="1"/>
    </x:row>
    <x:row r="19" ht="21" customHeight="1">
      <x:c r="A19" s="1"/>
      <x:c r="B19" s="1"/>
      <x:c r="C19" s="1" t="str">
        <x:v>FY2025</x:v>
      </x:c>
      <x:c r="D19" s="2" t="str">
        <x:v>revenue</x:v>
      </x:c>
      <x:c r="E19" s="10" t="n">
        <x:v>6392755815</x:v>
      </x:c>
      <x:c r="F19" s="9" t="n">
        <x:f>E19/1000000</x:f>
        <x:v>6392.755815</x:v>
      </x:c>
      <x:c r="G19" s="2" t="n">
        <x:v>29</x:v>
      </x:c>
      <x:c r="H19" s="2" t="str">
        <x:v>PT Darma Henwa Tbk dan Entitas Anak 31 Des 2025.pdf</x:v>
      </x:c>
      <x:c r="I19" s="2" t="str">
        <x:v>IDR thousand</x:v>
      </x:c>
      <x:c r="J19" s="2"/>
      <x:c r="K19" s="1"/>
      <x:c r="L19" s="1"/>
    </x:row>
    <x:row r="20" ht="21" customHeight="1">
      <x:c r="A20" s="1"/>
      <x:c r="B20" s="1"/>
      <x:c r="C20" s="1" t="str">
        <x:v>FY2025</x:v>
      </x:c>
      <x:c r="D20" s="2" t="str">
        <x:v>cogs</x:v>
      </x:c>
      <x:c r="E20" s="10" t="n">
        <x:v>5430580843</x:v>
      </x:c>
      <x:c r="F20" s="9" t="n">
        <x:f>E20/1000000</x:f>
        <x:v>5430.580843</x:v>
      </x:c>
      <x:c r="G20" s="2" t="n">
        <x:v>29</x:v>
      </x:c>
      <x:c r="H20" s="2" t="str">
        <x:v>PT Darma Henwa Tbk dan Entitas Anak 31 Des 2025.pdf</x:v>
      </x:c>
      <x:c r="I20" s="2" t="str">
        <x:v>IDR thousand</x:v>
      </x:c>
      <x:c r="J20" s="2"/>
      <x:c r="K20" s="1"/>
      <x:c r="L20" s="1"/>
    </x:row>
    <x:row r="21" ht="21" customHeight="1">
      <x:c r="A21" s="1"/>
      <x:c r="B21" s="1"/>
      <x:c r="C21" s="1" t="str">
        <x:v>FY2025</x:v>
      </x:c>
      <x:c r="D21" s="2" t="str">
        <x:v>gross_profit</x:v>
      </x:c>
      <x:c r="E21" s="10" t="n">
        <x:v>962174972</x:v>
      </x:c>
      <x:c r="F21" s="9" t="n">
        <x:f>E21/1000000</x:f>
        <x:v>962.174972</x:v>
      </x:c>
      <x:c r="G21" s="2" t="n">
        <x:v>29</x:v>
      </x:c>
      <x:c r="H21" s="2" t="str">
        <x:v>PT Darma Henwa Tbk dan Entitas Anak 31 Des 2025.pdf</x:v>
      </x:c>
      <x:c r="I21" s="2" t="str">
        <x:v>IDR thousand</x:v>
      </x:c>
      <x:c r="J21" s="2"/>
      <x:c r="K21" s="1"/>
      <x:c r="L21" s="1"/>
    </x:row>
    <x:row r="22" ht="21" customHeight="1">
      <x:c r="A22" s="1"/>
      <x:c r="B22" s="1"/>
      <x:c r="C22" s="1" t="str">
        <x:v>FY2025</x:v>
      </x:c>
      <x:c r="D22" s="2" t="str">
        <x:v>sga</x:v>
      </x:c>
      <x:c r="E22" s="10" t="n">
        <x:v>235781310</x:v>
      </x:c>
      <x:c r="F22" s="9" t="n">
        <x:f>E22/1000000</x:f>
        <x:v>235.78131</x:v>
      </x:c>
      <x:c r="G22" s="2" t="n">
        <x:v>29</x:v>
      </x:c>
      <x:c r="H22" s="2" t="str">
        <x:v>PT Darma Henwa Tbk dan Entitas Anak 31 Des 2025.pdf</x:v>
      </x:c>
      <x:c r="I22" s="2" t="str">
        <x:v>IDR thousand</x:v>
      </x:c>
      <x:c r="J22" s="2"/>
      <x:c r="K22" s="1"/>
      <x:c r="L22" s="1"/>
    </x:row>
    <x:row r="23" ht="21" customHeight="1">
      <x:c r="A23" s="1"/>
      <x:c r="B23" s="1"/>
      <x:c r="C23" s="1" t="str">
        <x:v>FY2025</x:v>
      </x:c>
      <x:c r="D23" s="2" t="str">
        <x:v>finance_income</x:v>
      </x:c>
      <x:c r="E23" s="10" t="n">
        <x:v>15887456</x:v>
      </x:c>
      <x:c r="F23" s="9" t="n">
        <x:f>E23/1000000</x:f>
        <x:v>15.887456</x:v>
      </x:c>
      <x:c r="G23" s="2" t="n">
        <x:v>29</x:v>
      </x:c>
      <x:c r="H23" s="2" t="str">
        <x:v>PT Darma Henwa Tbk dan Entitas Anak 31 Des 2025.pdf</x:v>
      </x:c>
      <x:c r="I23" s="2" t="str">
        <x:v>IDR thousand</x:v>
      </x:c>
      <x:c r="J23" s="2"/>
      <x:c r="K23" s="1"/>
      <x:c r="L23" s="1"/>
    </x:row>
    <x:row r="24" ht="21" customHeight="1">
      <x:c r="A24" s="1"/>
      <x:c r="B24" s="1"/>
      <x:c r="C24" s="1" t="str">
        <x:v>FY2025</x:v>
      </x:c>
      <x:c r="D24" s="2" t="str">
        <x:v>finance_cost</x:v>
      </x:c>
      <x:c r="E24" s="10" t="n">
        <x:v>258691977</x:v>
      </x:c>
      <x:c r="F24" s="9" t="n">
        <x:f>E24/1000000</x:f>
        <x:v>258.691977</x:v>
      </x:c>
      <x:c r="G24" s="2" t="n">
        <x:v>29</x:v>
      </x:c>
      <x:c r="H24" s="2" t="str">
        <x:v>PT Darma Henwa Tbk dan Entitas Anak 31 Des 2025.pdf</x:v>
      </x:c>
      <x:c r="I24" s="2" t="str">
        <x:v>IDR thousand</x:v>
      </x:c>
      <x:c r="J24" s="2"/>
      <x:c r="K24" s="1"/>
      <x:c r="L24" s="1"/>
    </x:row>
    <x:row r="25" ht="21" customHeight="1">
      <x:c r="A25" s="1"/>
      <x:c r="B25" s="1"/>
      <x:c r="C25" s="1" t="str">
        <x:v>FY2025</x:v>
      </x:c>
      <x:c r="D25" s="2" t="str">
        <x:v>fx</x:v>
      </x:c>
      <x:c r="E25" s="10" t="n">
        <x:v>-2647003</x:v>
      </x:c>
      <x:c r="F25" s="9" t="n">
        <x:f>E25/1000000</x:f>
        <x:v>-2.647003</x:v>
      </x:c>
      <x:c r="G25" s="2" t="n">
        <x:v>29</x:v>
      </x:c>
      <x:c r="H25" s="2" t="str">
        <x:v>PT Darma Henwa Tbk dan Entitas Anak 31 Des 2025.pdf</x:v>
      </x:c>
      <x:c r="I25" s="2" t="str">
        <x:v>IDR thousand</x:v>
      </x:c>
      <x:c r="J25" s="2"/>
      <x:c r="K25" s="1"/>
      <x:c r="L25" s="1"/>
    </x:row>
    <x:row r="26" ht="21" customHeight="1">
      <x:c r="A26" s="1"/>
      <x:c r="B26" s="1"/>
      <x:c r="C26" s="1" t="str">
        <x:v>FY2025</x:v>
      </x:c>
      <x:c r="D26" s="2" t="str">
        <x:v>associates</x:v>
      </x:c>
      <x:c r="E26" s="10" t="n">
        <x:v>112332</x:v>
      </x:c>
      <x:c r="F26" s="9" t="n">
        <x:f>E26/1000000</x:f>
        <x:v>0.112332</x:v>
      </x:c>
      <x:c r="G26" s="2" t="n">
        <x:v>29</x:v>
      </x:c>
      <x:c r="H26" s="2" t="str">
        <x:v>PT Darma Henwa Tbk dan Entitas Anak 31 Des 2025.pdf</x:v>
      </x:c>
      <x:c r="I26" s="2" t="str">
        <x:v>IDR thousand</x:v>
      </x:c>
      <x:c r="J26" s="2"/>
      <x:c r="K26" s="1"/>
      <x:c r="L26" s="1"/>
    </x:row>
    <x:row r="27" ht="21" customHeight="1">
      <x:c r="A27" s="1"/>
      <x:c r="B27" s="1"/>
      <x:c r="C27" s="1" t="str">
        <x:v>FY2025</x:v>
      </x:c>
      <x:c r="D27" s="2" t="str">
        <x:v>final_tax</x:v>
      </x:c>
      <x:c r="E27" s="10" t="n">
        <x:v>4122694</x:v>
      </x:c>
      <x:c r="F27" s="9" t="n">
        <x:f>E27/1000000</x:f>
        <x:v>4.122694</x:v>
      </x:c>
      <x:c r="G27" s="2" t="n">
        <x:v>29</x:v>
      </x:c>
      <x:c r="H27" s="2" t="str">
        <x:v>PT Darma Henwa Tbk dan Entitas Anak 31 Des 2025.pdf</x:v>
      </x:c>
      <x:c r="I27" s="2" t="str">
        <x:v>IDR thousand</x:v>
      </x:c>
      <x:c r="J27" s="2"/>
      <x:c r="K27" s="1"/>
      <x:c r="L27" s="1"/>
    </x:row>
    <x:row r="28" ht="21" customHeight="1">
      <x:c r="A28" s="1"/>
      <x:c r="B28" s="1"/>
      <x:c r="C28" s="1" t="str">
        <x:v>FY2025</x:v>
      </x:c>
      <x:c r="D28" s="2" t="str">
        <x:v>other</x:v>
      </x:c>
      <x:c r="E28" s="10" t="n">
        <x:v>3736812968</x:v>
      </x:c>
      <x:c r="F28" s="9" t="n">
        <x:f>E28/1000000</x:f>
        <x:v>3736.812968</x:v>
      </x:c>
      <x:c r="G28" s="2" t="n">
        <x:v>29</x:v>
      </x:c>
      <x:c r="H28" s="2" t="str">
        <x:v>PT Darma Henwa Tbk dan Entitas Anak 31 Des 2025.pdf</x:v>
      </x:c>
      <x:c r="I28" s="2" t="str">
        <x:v>IDR thousand</x:v>
      </x:c>
      <x:c r="J28" s="2"/>
      <x:c r="K28" s="1"/>
      <x:c r="L28" s="1"/>
    </x:row>
    <x:row r="29" ht="21" customHeight="1">
      <x:c r="A29" s="1"/>
      <x:c r="B29" s="1"/>
      <x:c r="C29" s="1" t="str">
        <x:v>FY2025</x:v>
      </x:c>
      <x:c r="D29" s="2" t="str">
        <x:v>pbt</x:v>
      </x:c>
      <x:c r="E29" s="10" t="n">
        <x:v>4213744744</x:v>
      </x:c>
      <x:c r="F29" s="9" t="n">
        <x:f>E29/1000000</x:f>
        <x:v>4213.744744</x:v>
      </x:c>
      <x:c r="G29" s="2" t="n">
        <x:v>29</x:v>
      </x:c>
      <x:c r="H29" s="2" t="str">
        <x:v>PT Darma Henwa Tbk dan Entitas Anak 31 Des 2025.pdf</x:v>
      </x:c>
      <x:c r="I29" s="2" t="str">
        <x:v>IDR thousand</x:v>
      </x:c>
      <x:c r="J29" s="2"/>
      <x:c r="K29" s="1"/>
      <x:c r="L29" s="1"/>
    </x:row>
    <x:row r="30" ht="21" customHeight="1">
      <x:c r="A30" s="1"/>
      <x:c r="B30" s="1"/>
      <x:c r="C30" s="1" t="str">
        <x:v>FY2025</x:v>
      </x:c>
      <x:c r="D30" s="2" t="str">
        <x:v>tax_expense</x:v>
      </x:c>
      <x:c r="E30" s="10" t="n">
        <x:v>-93016518</x:v>
      </x:c>
      <x:c r="F30" s="9" t="n">
        <x:f>E30/1000000</x:f>
        <x:v>-93.016518</x:v>
      </x:c>
      <x:c r="G30" s="2" t="n">
        <x:v>29</x:v>
      </x:c>
      <x:c r="H30" s="2" t="str">
        <x:v>PT Darma Henwa Tbk dan Entitas Anak 31 Des 2025.pdf</x:v>
      </x:c>
      <x:c r="I30" s="2" t="str">
        <x:v>IDR thousand</x:v>
      </x:c>
      <x:c r="J30" s="2"/>
      <x:c r="K30" s="1"/>
      <x:c r="L30" s="1"/>
    </x:row>
    <x:row r="31" ht="21" customHeight="1">
      <x:c r="A31" s="1"/>
      <x:c r="B31" s="1"/>
      <x:c r="C31" s="1" t="str">
        <x:v>FY2025</x:v>
      </x:c>
      <x:c r="D31" s="2" t="str">
        <x:v>net_income</x:v>
      </x:c>
      <x:c r="E31" s="10" t="n">
        <x:v>4306761262</x:v>
      </x:c>
      <x:c r="F31" s="9" t="n">
        <x:f>E31/1000000</x:f>
        <x:v>4306.761262</x:v>
      </x:c>
      <x:c r="G31" s="2" t="n">
        <x:v>29</x:v>
      </x:c>
      <x:c r="H31" s="2" t="str">
        <x:v>PT Darma Henwa Tbk dan Entitas Anak 31 Des 2025.pdf</x:v>
      </x:c>
      <x:c r="I31" s="2" t="str">
        <x:v>IDR thousand</x:v>
      </x:c>
      <x:c r="J31" s="2"/>
      <x:c r="K31" s="1"/>
      <x:c r="L31" s="1"/>
    </x:row>
    <x:row r="32" ht="21" customHeight="1">
      <x:c r="A32" s="1"/>
      <x:c r="B32" s="1"/>
      <x:c r="C32" s="1" t="str">
        <x:v>FY2025</x:v>
      </x:c>
      <x:c r="D32" s="2" t="str">
        <x:v>acquisition_gain</x:v>
      </x:c>
      <x:c r="E32" s="10" t="n">
        <x:v>4535394669</x:v>
      </x:c>
      <x:c r="F32" s="9" t="n">
        <x:f>E32/1000000</x:f>
        <x:v>4535.394669</x:v>
      </x:c>
      <x:c r="G32" s="2" t="n">
        <x:v>120</x:v>
      </x:c>
      <x:c r="H32" s="2" t="str">
        <x:v>PT Darma Henwa Tbk dan Entitas Anak 31 Des 2025.pdf</x:v>
      </x:c>
      <x:c r="I32" s="2" t="str">
        <x:v>IDR thousand</x:v>
      </x:c>
      <x:c r="J32" s="2"/>
      <x:c r="K32" s="1"/>
      <x:c r="L32" s="1"/>
    </x:row>
    <x:row r="33" ht="21" customHeight="1">
      <x:c r="A33" s="1"/>
      <x:c r="B33" s="1"/>
      <x:c r="C33" s="1" t="str">
        <x:v>FY2025</x:v>
      </x:c>
      <x:c r="D33" s="2" t="str">
        <x:v>receivable_writeoff</x:v>
      </x:c>
      <x:c r="E33" s="10" t="n">
        <x:v>56481274</x:v>
      </x:c>
      <x:c r="F33" s="9" t="n">
        <x:f>E33/1000000</x:f>
        <x:v>56.481274</x:v>
      </x:c>
      <x:c r="G33" s="2" t="n">
        <x:v>120</x:v>
      </x:c>
      <x:c r="H33" s="2" t="str">
        <x:v>PT Darma Henwa Tbk dan Entitas Anak 31 Des 2025.pdf</x:v>
      </x:c>
      <x:c r="I33" s="2" t="str">
        <x:v>IDR thousand</x:v>
      </x:c>
      <x:c r="J33" s="2"/>
      <x:c r="K33" s="1"/>
      <x:c r="L33" s="1"/>
    </x:row>
    <x:row r="34" ht="21" customHeight="1">
      <x:c r="A34" s="1"/>
      <x:c r="B34" s="1"/>
      <x:c r="C34" s="1" t="str">
        <x:v>FY2025</x:v>
      </x:c>
      <x:c r="D34" s="2" t="str">
        <x:v>loss_of_control</x:v>
      </x:c>
      <x:c r="E34" s="10" t="n">
        <x:v>82411740</x:v>
      </x:c>
      <x:c r="F34" s="9" t="n">
        <x:f>E34/1000000</x:f>
        <x:v>82.41174</x:v>
      </x:c>
      <x:c r="G34" s="2" t="n">
        <x:v>120</x:v>
      </x:c>
      <x:c r="H34" s="2" t="str">
        <x:v>PT Darma Henwa Tbk dan Entitas Anak 31 Des 2025.pdf</x:v>
      </x:c>
      <x:c r="I34" s="2" t="str">
        <x:v>IDR thousand</x:v>
      </x:c>
      <x:c r="J34" s="2"/>
      <x:c r="K34" s="1"/>
      <x:c r="L34" s="1"/>
    </x:row>
    <x:row r="35" ht="21" customHeight="1">
      <x:c r="A35" s="1"/>
      <x:c r="B35" s="1"/>
      <x:c r="C35" s="1" t="str">
        <x:v>FY2025</x:v>
      </x:c>
      <x:c r="D35" s="2" t="str">
        <x:v>inventory_writeoff</x:v>
      </x:c>
      <x:c r="E35" s="10" t="n">
        <x:v>83445287</x:v>
      </x:c>
      <x:c r="F35" s="9" t="n">
        <x:f>E35/1000000</x:f>
        <x:v>83.445287</x:v>
      </x:c>
      <x:c r="G35" s="2" t="n">
        <x:v>120</x:v>
      </x:c>
      <x:c r="H35" s="2" t="str">
        <x:v>PT Darma Henwa Tbk dan Entitas Anak 31 Des 2025.pdf</x:v>
      </x:c>
      <x:c r="I35" s="2" t="str">
        <x:v>IDR thousand</x:v>
      </x:c>
      <x:c r="J35" s="2"/>
      <x:c r="K35" s="1"/>
      <x:c r="L35" s="1"/>
    </x:row>
    <x:row r="36" ht="21" customHeight="1">
      <x:c r="A36" s="1"/>
      <x:c r="B36" s="1"/>
      <x:c r="C36" s="1" t="str">
        <x:v>FY2025</x:v>
      </x:c>
      <x:c r="D36" s="2" t="str">
        <x:v>asset_disposal_loss</x:v>
      </x:c>
      <x:c r="E36" s="10" t="n">
        <x:v>501443133</x:v>
      </x:c>
      <x:c r="F36" s="9" t="n">
        <x:f>E36/1000000</x:f>
        <x:v>501.443133</x:v>
      </x:c>
      <x:c r="G36" s="2" t="n">
        <x:v>120</x:v>
      </x:c>
      <x:c r="H36" s="2" t="str">
        <x:v>PT Darma Henwa Tbk dan Entitas Anak 31 Des 2025.pdf</x:v>
      </x:c>
      <x:c r="I36" s="2" t="str">
        <x:v>IDR thousand</x:v>
      </x:c>
      <x:c r="J36" s="2"/>
      <x:c r="K36" s="1"/>
      <x:c r="L36" s="1"/>
    </x:row>
    <x:row r="37" ht="21" customHeight="1">
      <x:c r="A37" s="1"/>
      <x:c r="B37" s="1"/>
      <x:c r="C37" s="1" t="str">
        <x:v>FY2025</x:v>
      </x:c>
      <x:c r="D37" s="2" t="str">
        <x:v>other_residual</x:v>
      </x:c>
      <x:c r="E37" s="10" t="n">
        <x:v>-74800267</x:v>
      </x:c>
      <x:c r="F37" s="9" t="n">
        <x:f>E37/1000000</x:f>
        <x:v>-74.800267</x:v>
      </x:c>
      <x:c r="G37" s="2" t="n">
        <x:v>120</x:v>
      </x:c>
      <x:c r="H37" s="2" t="str">
        <x:v>PT Darma Henwa Tbk dan Entitas Anak 31 Des 2025.pdf</x:v>
      </x:c>
      <x:c r="I37" s="2" t="str">
        <x:v>IDR thousand</x:v>
      </x:c>
      <x:c r="J37" s="2"/>
      <x:c r="K37" s="1"/>
      <x:c r="L37" s="1"/>
    </x:row>
    <x:row r="38" ht="21" customHeight="1">
      <x:c r="A38" s="1"/>
      <x:c r="B38" s="1"/>
      <x:c r="C38" s="1" t="str">
        <x:v>FY2025</x:v>
      </x:c>
      <x:c r="D38" s="2" t="str">
        <x:v>da_ppe</x:v>
      </x:c>
      <x:c r="E38" s="10" t="n">
        <x:v>861961837</x:v>
      </x:c>
      <x:c r="F38" s="9" t="n">
        <x:f>E38/1000000</x:f>
        <x:v>861.961837</x:v>
      </x:c>
      <x:c r="G38" s="2" t="n">
        <x:v>90</x:v>
      </x:c>
      <x:c r="H38" s="2" t="str">
        <x:v>PT Darma Henwa Tbk dan Entitas Anak 31 Des 2025.pdf</x:v>
      </x:c>
      <x:c r="I38" s="2" t="str">
        <x:v>IDR thousand</x:v>
      </x:c>
      <x:c r="J38" s="2"/>
      <x:c r="K38" s="1"/>
      <x:c r="L38" s="1"/>
    </x:row>
    <x:row r="39" ht="21" customHeight="1">
      <x:c r="A39" s="1"/>
      <x:c r="B39" s="1"/>
      <x:c r="C39" s="1" t="str">
        <x:v>FY2025</x:v>
      </x:c>
      <x:c r="D39" s="2" t="str">
        <x:v>da_rou</x:v>
      </x:c>
      <x:c r="E39" s="10" t="n">
        <x:v>78711678</x:v>
      </x:c>
      <x:c r="F39" s="9" t="n">
        <x:f>E39/1000000</x:f>
        <x:v>78.711678</x:v>
      </x:c>
      <x:c r="G39" s="2" t="n">
        <x:v>92</x:v>
      </x:c>
      <x:c r="H39" s="2" t="str">
        <x:v>PT Darma Henwa Tbk dan Entitas Anak 31 Des 2025.pdf</x:v>
      </x:c>
      <x:c r="I39" s="2" t="str">
        <x:v>IDR thousand</x:v>
      </x:c>
      <x:c r="J39" s="2"/>
      <x:c r="K39" s="1"/>
      <x:c r="L39" s="1"/>
    </x:row>
    <x:row r="40" ht="21" customHeight="1">
      <x:c r="A40" s="1"/>
      <x:c r="B40" s="1"/>
      <x:c r="C40" s="1" t="str">
        <x:v>FY2024R</x:v>
      </x:c>
      <x:c r="D40" s="2" t="str">
        <x:v>da_ppe</x:v>
      </x:c>
      <x:c r="E40" s="10" t="n">
        <x:v>555013289</x:v>
      </x:c>
      <x:c r="F40" s="9" t="n">
        <x:f>E40/1000000</x:f>
        <x:v>555.013289</x:v>
      </x:c>
      <x:c r="G40" s="2" t="n">
        <x:v>90</x:v>
      </x:c>
      <x:c r="H40" s="2" t="str">
        <x:v>PT Darma Henwa Tbk dan Entitas Anak 31 Des 2025.pdf</x:v>
      </x:c>
      <x:c r="I40" s="2" t="str">
        <x:v>IDR thousand</x:v>
      </x:c>
      <x:c r="J40" s="2"/>
      <x:c r="K40" s="1"/>
      <x:c r="L40" s="1"/>
    </x:row>
    <x:row r="41" ht="21" customHeight="1">
      <x:c r="A41" s="1"/>
      <x:c r="B41" s="1"/>
      <x:c r="C41" s="1" t="str">
        <x:v>FY2024R</x:v>
      </x:c>
      <x:c r="D41" s="2" t="str">
        <x:v>da_rou</x:v>
      </x:c>
      <x:c r="E41" s="10" t="n">
        <x:v>135219079</x:v>
      </x:c>
      <x:c r="F41" s="9" t="n">
        <x:f>E41/1000000</x:f>
        <x:v>135.219079</x:v>
      </x:c>
      <x:c r="G41" s="2" t="n">
        <x:v>119</x:v>
      </x:c>
      <x:c r="H41" s="2" t="str">
        <x:v>PT Darma Henwa Tbk dan Entitas Anak 31 Des 2025.pdf</x:v>
      </x:c>
      <x:c r="I41" s="2" t="str">
        <x:v>IDR thousand</x:v>
      </x:c>
      <x:c r="J41" s="2"/>
      <x:c r="K41" s="1"/>
      <x:c r="L41" s="1"/>
    </x:row>
    <x:row r="42" ht="21" customHeight="1">
      <x:c r="A42" s="1"/>
      <x:c r="B42" s="1"/>
      <x:c r="C42" s="1" t="str">
        <x:v>FY2025</x:v>
      </x:c>
      <x:c r="D42" s="2" t="str">
        <x:v>assets</x:v>
      </x:c>
      <x:c r="E42" s="10" t="n">
        <x:v>16734972389</x:v>
      </x:c>
      <x:c r="F42" s="9" t="n">
        <x:f>E42/1000000</x:f>
        <x:v>16734.972389</x:v>
      </x:c>
      <x:c r="G42" s="2" t="n">
        <x:v>26</x:v>
      </x:c>
      <x:c r="H42" s="2" t="str">
        <x:v>PT Darma Henwa Tbk dan Entitas Anak 31 Des 2025.pdf</x:v>
      </x:c>
      <x:c r="I42" s="2" t="str">
        <x:v>IDR thousand</x:v>
      </x:c>
      <x:c r="J42" s="2"/>
      <x:c r="K42" s="1"/>
      <x:c r="L42" s="1"/>
    </x:row>
    <x:row r="43" ht="21" customHeight="1">
      <x:c r="A43" s="1"/>
      <x:c r="B43" s="1"/>
      <x:c r="C43" s="1" t="str">
        <x:v>FY2025</x:v>
      </x:c>
      <x:c r="D43" s="2" t="str">
        <x:v>cash</x:v>
      </x:c>
      <x:c r="E43" s="10" t="n">
        <x:v>1590630399</x:v>
      </x:c>
      <x:c r="F43" s="9" t="n">
        <x:f>E43/1000000</x:f>
        <x:v>1590.630399</x:v>
      </x:c>
      <x:c r="G43" s="2" t="n">
        <x:v>26</x:v>
      </x:c>
      <x:c r="H43" s="2" t="str">
        <x:v>PT Darma Henwa Tbk dan Entitas Anak 31 Des 2025.pdf</x:v>
      </x:c>
      <x:c r="I43" s="2" t="str">
        <x:v>IDR thousand</x:v>
      </x:c>
      <x:c r="J43" s="2"/>
      <x:c r="K43" s="1"/>
      <x:c r="L43" s="1"/>
    </x:row>
    <x:row r="44" ht="21" customHeight="1">
      <x:c r="A44" s="1"/>
      <x:c r="B44" s="1"/>
      <x:c r="C44" s="1" t="str">
        <x:v>FY2025</x:v>
      </x:c>
      <x:c r="D44" s="2" t="str">
        <x:v>receivables</x:v>
      </x:c>
      <x:c r="E44" s="10" t="n">
        <x:v>1537197167</x:v>
      </x:c>
      <x:c r="F44" s="9" t="n">
        <x:f>E44/1000000</x:f>
        <x:v>1537.197167</x:v>
      </x:c>
      <x:c r="G44" s="2" t="n">
        <x:v>26</x:v>
      </x:c>
      <x:c r="H44" s="2" t="str">
        <x:v>PT Darma Henwa Tbk dan Entitas Anak 31 Des 2025.pdf</x:v>
      </x:c>
      <x:c r="I44" s="2" t="str">
        <x:v>IDR thousand</x:v>
      </x:c>
      <x:c r="J44" s="2"/>
      <x:c r="K44" s="1"/>
      <x:c r="L44" s="1"/>
    </x:row>
    <x:row r="45" ht="21" customHeight="1">
      <x:c r="A45" s="1"/>
      <x:c r="B45" s="1"/>
      <x:c r="C45" s="1" t="str">
        <x:v>FY2025</x:v>
      </x:c>
      <x:c r="D45" s="2" t="str">
        <x:v>inventory</x:v>
      </x:c>
      <x:c r="E45" s="10" t="n">
        <x:v>302447875</x:v>
      </x:c>
      <x:c r="F45" s="9" t="n">
        <x:f>E45/1000000</x:f>
        <x:v>302.447875</x:v>
      </x:c>
      <x:c r="G45" s="2" t="n">
        <x:v>26</x:v>
      </x:c>
      <x:c r="H45" s="2" t="str">
        <x:v>PT Darma Henwa Tbk dan Entitas Anak 31 Des 2025.pdf</x:v>
      </x:c>
      <x:c r="I45" s="2" t="str">
        <x:v>IDR thousand</x:v>
      </x:c>
      <x:c r="J45" s="2"/>
      <x:c r="K45" s="1"/>
      <x:c r="L45" s="1"/>
    </x:row>
    <x:row r="46" ht="21" customHeight="1">
      <x:c r="A46" s="1"/>
      <x:c r="B46" s="1"/>
      <x:c r="C46" s="1" t="str">
        <x:v>FY2025</x:v>
      </x:c>
      <x:c r="D46" s="2" t="str">
        <x:v>prepaid</x:v>
      </x:c>
      <x:c r="E46" s="10" t="n">
        <x:v>7186593</x:v>
      </x:c>
      <x:c r="F46" s="9" t="n">
        <x:f>E46/1000000</x:f>
        <x:v>7.186593</x:v>
      </x:c>
      <x:c r="G46" s="2" t="n">
        <x:v>26</x:v>
      </x:c>
      <x:c r="H46" s="2" t="str">
        <x:v>PT Darma Henwa Tbk dan Entitas Anak 31 Des 2025.pdf</x:v>
      </x:c>
      <x:c r="I46" s="2" t="str">
        <x:v>IDR thousand</x:v>
      </x:c>
      <x:c r="J46" s="2"/>
      <x:c r="K46" s="1"/>
      <x:c r="L46" s="1"/>
    </x:row>
    <x:row r="47" ht="21" customHeight="1">
      <x:c r="A47" s="1"/>
      <x:c r="B47" s="1"/>
      <x:c r="C47" s="1" t="str">
        <x:v>FY2025</x:v>
      </x:c>
      <x:c r="D47" s="2" t="str">
        <x:v>other_current</x:v>
      </x:c>
      <x:c r="E47" s="10" t="n">
        <x:v>156186176</x:v>
      </x:c>
      <x:c r="F47" s="9" t="n">
        <x:f>E47/1000000</x:f>
        <x:v>156.186176</x:v>
      </x:c>
      <x:c r="G47" s="2" t="n">
        <x:v>26</x:v>
      </x:c>
      <x:c r="H47" s="2" t="str">
        <x:v>PT Darma Henwa Tbk dan Entitas Anak 31 Des 2025.pdf</x:v>
      </x:c>
      <x:c r="I47" s="2" t="str">
        <x:v>IDR thousand</x:v>
      </x:c>
      <x:c r="J47" s="2"/>
      <x:c r="K47" s="1"/>
      <x:c r="L47" s="1"/>
    </x:row>
    <x:row r="48" ht="21" customHeight="1">
      <x:c r="A48" s="1"/>
      <x:c r="B48" s="1"/>
      <x:c r="C48" s="1" t="str">
        <x:v>FY2025</x:v>
      </x:c>
      <x:c r="D48" s="2" t="str">
        <x:v>exploration</x:v>
      </x:c>
      <x:c r="E48" s="10" t="n">
        <x:v>7008621480</x:v>
      </x:c>
      <x:c r="F48" s="9" t="n">
        <x:f>E48/1000000</x:f>
        <x:v>7008.62148</x:v>
      </x:c>
      <x:c r="G48" s="2" t="n">
        <x:v>26</x:v>
      </x:c>
      <x:c r="H48" s="2" t="str">
        <x:v>PT Darma Henwa Tbk dan Entitas Anak 31 Des 2025.pdf</x:v>
      </x:c>
      <x:c r="I48" s="2" t="str">
        <x:v>IDR thousand</x:v>
      </x:c>
      <x:c r="J48" s="2"/>
      <x:c r="K48" s="1"/>
      <x:c r="L48" s="1"/>
    </x:row>
    <x:row r="49" ht="21" customHeight="1">
      <x:c r="A49" s="1"/>
      <x:c r="B49" s="1"/>
      <x:c r="C49" s="1" t="str">
        <x:v>FY2025</x:v>
      </x:c>
      <x:c r="D49" s="2" t="str">
        <x:v>investments</x:v>
      </x:c>
      <x:c r="E49" s="10" t="n">
        <x:v>1106339607</x:v>
      </x:c>
      <x:c r="F49" s="9" t="n">
        <x:f>E49/1000000</x:f>
        <x:v>1106.339607</x:v>
      </x:c>
      <x:c r="G49" s="2" t="n">
        <x:v>26</x:v>
      </x:c>
      <x:c r="H49" s="2" t="str">
        <x:v>PT Darma Henwa Tbk dan Entitas Anak 31 Des 2025.pdf</x:v>
      </x:c>
      <x:c r="I49" s="2" t="str">
        <x:v>IDR thousand</x:v>
      </x:c>
      <x:c r="J49" s="2"/>
      <x:c r="K49" s="1"/>
      <x:c r="L49" s="1"/>
    </x:row>
    <x:row r="50" ht="21" customHeight="1">
      <x:c r="A50" s="1"/>
      <x:c r="B50" s="1"/>
      <x:c r="C50" s="1" t="str">
        <x:v>FY2025</x:v>
      </x:c>
      <x:c r="D50" s="2" t="str">
        <x:v>associate_asset</x:v>
      </x:c>
      <x:c r="E50" s="10" t="n">
        <x:v>51192201</x:v>
      </x:c>
      <x:c r="F50" s="9" t="n">
        <x:f>E50/1000000</x:f>
        <x:v>51.192201</x:v>
      </x:c>
      <x:c r="G50" s="2" t="n">
        <x:v>26</x:v>
      </x:c>
      <x:c r="H50" s="2" t="str">
        <x:v>PT Darma Henwa Tbk dan Entitas Anak 31 Des 2025.pdf</x:v>
      </x:c>
      <x:c r="I50" s="2" t="str">
        <x:v>IDR thousand</x:v>
      </x:c>
      <x:c r="J50" s="2"/>
      <x:c r="K50" s="1"/>
      <x:c r="L50" s="1"/>
    </x:row>
    <x:row r="51" ht="21" customHeight="1">
      <x:c r="A51" s="1"/>
      <x:c r="B51" s="1"/>
      <x:c r="C51" s="1" t="str">
        <x:v>FY2025</x:v>
      </x:c>
      <x:c r="D51" s="2" t="str">
        <x:v>liabilities</x:v>
      </x:c>
      <x:c r="E51" s="10" t="n">
        <x:v>8143839115</x:v>
      </x:c>
      <x:c r="F51" s="9" t="n">
        <x:f>E51/1000000</x:f>
        <x:v>8143.839115</x:v>
      </x:c>
      <x:c r="G51" s="2" t="n">
        <x:v>27</x:v>
      </x:c>
      <x:c r="H51" s="2" t="str">
        <x:v>PT Darma Henwa Tbk dan Entitas Anak 31 Des 2025.pdf</x:v>
      </x:c>
      <x:c r="I51" s="2" t="str">
        <x:v>IDR thousand</x:v>
      </x:c>
      <x:c r="J51" s="2"/>
      <x:c r="K51" s="1"/>
      <x:c r="L51" s="1"/>
    </x:row>
    <x:row r="52" ht="21" customHeight="1">
      <x:c r="A52" s="1"/>
      <x:c r="B52" s="1"/>
      <x:c r="C52" s="1" t="str">
        <x:v>FY2025</x:v>
      </x:c>
      <x:c r="D52" s="2" t="str">
        <x:v>trade_payables</x:v>
      </x:c>
      <x:c r="E52" s="10" t="n">
        <x:v>889774263</x:v>
      </x:c>
      <x:c r="F52" s="9" t="n">
        <x:f>E52/1000000</x:f>
        <x:v>889.774263</x:v>
      </x:c>
      <x:c r="G52" s="2" t="n">
        <x:v>27</x:v>
      </x:c>
      <x:c r="H52" s="2" t="str">
        <x:v>PT Darma Henwa Tbk dan Entitas Anak 31 Des 2025.pdf</x:v>
      </x:c>
      <x:c r="I52" s="2" t="str">
        <x:v>IDR thousand</x:v>
      </x:c>
      <x:c r="J52" s="2"/>
      <x:c r="K52" s="1"/>
      <x:c r="L52" s="1"/>
    </x:row>
    <x:row r="53" ht="21" customHeight="1">
      <x:c r="A53" s="1"/>
      <x:c r="B53" s="1"/>
      <x:c r="C53" s="1" t="str">
        <x:v>FY2025</x:v>
      </x:c>
      <x:c r="D53" s="2" t="str">
        <x:v>accruals</x:v>
      </x:c>
      <x:c r="E53" s="10" t="n">
        <x:v>400168695</x:v>
      </x:c>
      <x:c r="F53" s="9" t="n">
        <x:f>E53/1000000</x:f>
        <x:v>400.168695</x:v>
      </x:c>
      <x:c r="G53" s="2" t="n">
        <x:v>27</x:v>
      </x:c>
      <x:c r="H53" s="2" t="str">
        <x:v>PT Darma Henwa Tbk dan Entitas Anak 31 Des 2025.pdf</x:v>
      </x:c>
      <x:c r="I53" s="2" t="str">
        <x:v>IDR thousand</x:v>
      </x:c>
      <x:c r="J53" s="2"/>
      <x:c r="K53" s="1"/>
      <x:c r="L53" s="1"/>
    </x:row>
    <x:row r="54" ht="21" customHeight="1">
      <x:c r="A54" s="1"/>
      <x:c r="B54" s="1"/>
      <x:c r="C54" s="1" t="str">
        <x:v>FY2025</x:v>
      </x:c>
      <x:c r="D54" s="2" t="str">
        <x:v>unearned</x:v>
      </x:c>
      <x:c r="E54" s="10" t="n">
        <x:v>237891465</x:v>
      </x:c>
      <x:c r="F54" s="9" t="n">
        <x:f>E54/1000000</x:f>
        <x:v>237.891465</x:v>
      </x:c>
      <x:c r="G54" s="2" t="n">
        <x:v>27</x:v>
      </x:c>
      <x:c r="H54" s="2" t="str">
        <x:v>PT Darma Henwa Tbk dan Entitas Anak 31 Des 2025.pdf</x:v>
      </x:c>
      <x:c r="I54" s="2" t="str">
        <x:v>IDR thousand</x:v>
      </x:c>
      <x:c r="J54" s="2"/>
      <x:c r="K54" s="1"/>
      <x:c r="L54" s="1"/>
    </x:row>
    <x:row r="55" ht="21" customHeight="1">
      <x:c r="A55" s="1"/>
      <x:c r="B55" s="1"/>
      <x:c r="C55" s="1" t="str">
        <x:v>FY2025</x:v>
      </x:c>
      <x:c r="D55" s="2" t="str">
        <x:v>bank_current</x:v>
      </x:c>
      <x:c r="E55" s="10" t="n">
        <x:v>835492258</x:v>
      </x:c>
      <x:c r="F55" s="9" t="n">
        <x:f>E55/1000000</x:f>
        <x:v>835.492258</x:v>
      </x:c>
      <x:c r="G55" s="2" t="n">
        <x:v>27</x:v>
      </x:c>
      <x:c r="H55" s="2" t="str">
        <x:v>PT Darma Henwa Tbk dan Entitas Anak 31 Des 2025.pdf</x:v>
      </x:c>
      <x:c r="I55" s="2" t="str">
        <x:v>IDR thousand</x:v>
      </x:c>
      <x:c r="J55" s="2"/>
      <x:c r="K55" s="1"/>
      <x:c r="L55" s="1"/>
    </x:row>
    <x:row r="56" ht="21" customHeight="1">
      <x:c r="A56" s="1"/>
      <x:c r="B56" s="1"/>
      <x:c r="C56" s="1" t="str">
        <x:v>FY2025</x:v>
      </x:c>
      <x:c r="D56" s="2" t="str">
        <x:v>bank_long</x:v>
      </x:c>
      <x:c r="E56" s="10" t="n">
        <x:v>2635608330</x:v>
      </x:c>
      <x:c r="F56" s="9" t="n">
        <x:f>E56/1000000</x:f>
        <x:v>2635.60833</x:v>
      </x:c>
      <x:c r="G56" s="2" t="n">
        <x:v>27</x:v>
      </x:c>
      <x:c r="H56" s="2" t="str">
        <x:v>PT Darma Henwa Tbk dan Entitas Anak 31 Des 2025.pdf</x:v>
      </x:c>
      <x:c r="I56" s="2" t="str">
        <x:v>IDR thousand</x:v>
      </x:c>
      <x:c r="J56" s="2"/>
      <x:c r="K56" s="1"/>
      <x:c r="L56" s="1"/>
    </x:row>
    <x:row r="57" ht="21" customHeight="1">
      <x:c r="A57" s="1"/>
      <x:c r="B57" s="1"/>
      <x:c r="C57" s="1" t="str">
        <x:v>FY2025</x:v>
      </x:c>
      <x:c r="D57" s="2" t="str">
        <x:v>finance_lease_current</x:v>
      </x:c>
      <x:c r="E57" s="10" t="n">
        <x:v>9180881</x:v>
      </x:c>
      <x:c r="F57" s="9" t="n">
        <x:f>E57/1000000</x:f>
        <x:v>9.180881</x:v>
      </x:c>
      <x:c r="G57" s="2" t="n">
        <x:v>27</x:v>
      </x:c>
      <x:c r="H57" s="2" t="str">
        <x:v>PT Darma Henwa Tbk dan Entitas Anak 31 Des 2025.pdf</x:v>
      </x:c>
      <x:c r="I57" s="2" t="str">
        <x:v>IDR thousand</x:v>
      </x:c>
      <x:c r="J57" s="2"/>
      <x:c r="K57" s="1"/>
      <x:c r="L57" s="1"/>
    </x:row>
    <x:row r="58" ht="21" customHeight="1">
      <x:c r="A58" s="1"/>
      <x:c r="B58" s="1"/>
      <x:c r="C58" s="1" t="str">
        <x:v>FY2025</x:v>
      </x:c>
      <x:c r="D58" s="2" t="str">
        <x:v>finance_lease_long</x:v>
      </x:c>
      <x:c r="E58" s="10" t="n">
        <x:v>1171938</x:v>
      </x:c>
      <x:c r="F58" s="9" t="n">
        <x:f>E58/1000000</x:f>
        <x:v>1.171938</x:v>
      </x:c>
      <x:c r="G58" s="2" t="n">
        <x:v>27</x:v>
      </x:c>
      <x:c r="H58" s="2" t="str">
        <x:v>PT Darma Henwa Tbk dan Entitas Anak 31 Des 2025.pdf</x:v>
      </x:c>
      <x:c r="I58" s="2" t="str">
        <x:v>IDR thousand</x:v>
      </x:c>
      <x:c r="J58" s="2"/>
      <x:c r="K58" s="1"/>
      <x:c r="L58" s="1"/>
    </x:row>
    <x:row r="59" ht="21" customHeight="1">
      <x:c r="A59" s="1"/>
      <x:c r="B59" s="1"/>
      <x:c r="C59" s="1" t="str">
        <x:v>FY2025</x:v>
      </x:c>
      <x:c r="D59" s="2" t="str">
        <x:v>lease_current</x:v>
      </x:c>
      <x:c r="E59" s="10" t="n">
        <x:v>37193491</x:v>
      </x:c>
      <x:c r="F59" s="9" t="n">
        <x:f>E59/1000000</x:f>
        <x:v>37.193491</x:v>
      </x:c>
      <x:c r="G59" s="2" t="n">
        <x:v>27</x:v>
      </x:c>
      <x:c r="H59" s="2" t="str">
        <x:v>PT Darma Henwa Tbk dan Entitas Anak 31 Des 2025.pdf</x:v>
      </x:c>
      <x:c r="I59" s="2" t="str">
        <x:v>IDR thousand</x:v>
      </x:c>
      <x:c r="J59" s="2"/>
      <x:c r="K59" s="1"/>
      <x:c r="L59" s="1"/>
    </x:row>
    <x:row r="60" ht="21" customHeight="1">
      <x:c r="A60" s="1"/>
      <x:c r="B60" s="1"/>
      <x:c r="C60" s="1" t="str">
        <x:v>FY2025</x:v>
      </x:c>
      <x:c r="D60" s="2" t="str">
        <x:v>lease_long</x:v>
      </x:c>
      <x:c r="E60" s="10" t="n">
        <x:v>40731170</x:v>
      </x:c>
      <x:c r="F60" s="9" t="n">
        <x:f>E60/1000000</x:f>
        <x:v>40.73117</x:v>
      </x:c>
      <x:c r="G60" s="2" t="n">
        <x:v>27</x:v>
      </x:c>
      <x:c r="H60" s="2" t="str">
        <x:v>PT Darma Henwa Tbk dan Entitas Anak 31 Des 2025.pdf</x:v>
      </x:c>
      <x:c r="I60" s="2" t="str">
        <x:v>IDR thousand</x:v>
      </x:c>
      <x:c r="J60" s="2"/>
      <x:c r="K60" s="1"/>
      <x:c r="L60" s="1"/>
    </x:row>
    <x:row r="61" ht="21" customHeight="1">
      <x:c r="A61" s="1"/>
      <x:c r="B61" s="1"/>
      <x:c r="C61" s="1" t="str">
        <x:v>FY2025</x:v>
      </x:c>
      <x:c r="D61" s="2" t="str">
        <x:v>other_debt_current</x:v>
      </x:c>
      <x:c r="E61" s="10" t="n">
        <x:v>722289107</x:v>
      </x:c>
      <x:c r="F61" s="9" t="n">
        <x:f>E61/1000000</x:f>
        <x:v>722.289107</x:v>
      </x:c>
      <x:c r="G61" s="2" t="n">
        <x:v>27</x:v>
      </x:c>
      <x:c r="H61" s="2" t="str">
        <x:v>PT Darma Henwa Tbk dan Entitas Anak 31 Des 2025.pdf</x:v>
      </x:c>
      <x:c r="I61" s="2" t="str">
        <x:v>IDR thousand</x:v>
      </x:c>
      <x:c r="J61" s="2"/>
      <x:c r="K61" s="1"/>
      <x:c r="L61" s="1"/>
    </x:row>
    <x:row r="62" ht="21" customHeight="1">
      <x:c r="A62" s="1"/>
      <x:c r="B62" s="1"/>
      <x:c r="C62" s="1" t="str">
        <x:v>FY2025</x:v>
      </x:c>
      <x:c r="D62" s="2" t="str">
        <x:v>other_debt_long</x:v>
      </x:c>
      <x:c r="E62" s="10" t="n">
        <x:v>756523722</x:v>
      </x:c>
      <x:c r="F62" s="9" t="n">
        <x:f>E62/1000000</x:f>
        <x:v>756.523722</x:v>
      </x:c>
      <x:c r="G62" s="2" t="n">
        <x:v>27</x:v>
      </x:c>
      <x:c r="H62" s="2" t="str">
        <x:v>PT Darma Henwa Tbk dan Entitas Anak 31 Des 2025.pdf</x:v>
      </x:c>
      <x:c r="I62" s="2" t="str">
        <x:v>IDR thousand</x:v>
      </x:c>
      <x:c r="J62" s="2"/>
      <x:c r="K62" s="1"/>
      <x:c r="L62" s="1"/>
    </x:row>
    <x:row r="63" ht="21" customHeight="1">
      <x:c r="A63" s="1"/>
      <x:c r="B63" s="1"/>
      <x:c r="C63" s="1" t="str">
        <x:v>FY2025</x:v>
      </x:c>
      <x:c r="D63" s="2" t="str">
        <x:v>related_debt</x:v>
      </x:c>
      <x:c r="E63" s="10" t="n">
        <x:v>19093285</x:v>
      </x:c>
      <x:c r="F63" s="9" t="n">
        <x:f>E63/1000000</x:f>
        <x:v>19.093285</x:v>
      </x:c>
      <x:c r="G63" s="2" t="n">
        <x:v>27</x:v>
      </x:c>
      <x:c r="H63" s="2" t="str">
        <x:v>PT Darma Henwa Tbk dan Entitas Anak 31 Des 2025.pdf</x:v>
      </x:c>
      <x:c r="I63" s="2" t="str">
        <x:v>IDR thousand</x:v>
      </x:c>
      <x:c r="J63" s="2"/>
      <x:c r="K63" s="1"/>
      <x:c r="L63" s="1"/>
    </x:row>
    <x:row r="64" ht="21" customHeight="1">
      <x:c r="A64" s="1"/>
      <x:c r="B64" s="1"/>
      <x:c r="C64" s="1" t="str">
        <x:v>FY2025</x:v>
      </x:c>
      <x:c r="D64" s="2" t="str">
        <x:v>equity</x:v>
      </x:c>
      <x:c r="E64" s="10" t="n">
        <x:v>8591133274</x:v>
      </x:c>
      <x:c r="F64" s="9" t="n">
        <x:f>E64/1000000</x:f>
        <x:v>8591.133274</x:v>
      </x:c>
      <x:c r="G64" s="2" t="n">
        <x:v>28</x:v>
      </x:c>
      <x:c r="H64" s="2" t="str">
        <x:v>PT Darma Henwa Tbk dan Entitas Anak 31 Des 2025.pdf</x:v>
      </x:c>
      <x:c r="I64" s="2" t="str">
        <x:v>IDR thousand</x:v>
      </x:c>
      <x:c r="J64" s="2"/>
      <x:c r="K64" s="1"/>
      <x:c r="L64" s="1"/>
    </x:row>
    <x:row r="65" ht="21" customHeight="1">
      <x:c r="A65" s="1"/>
      <x:c r="B65" s="1"/>
      <x:c r="C65" s="1" t="str">
        <x:v>FY2025</x:v>
      </x:c>
      <x:c r="D65" s="2" t="str">
        <x:v>parent_equity</x:v>
      </x:c>
      <x:c r="E65" s="10" t="n">
        <x:v>8575865655</x:v>
      </x:c>
      <x:c r="F65" s="9" t="n">
        <x:f>E65/1000000</x:f>
        <x:v>8575.865655</x:v>
      </x:c>
      <x:c r="G65" s="2" t="n">
        <x:v>28</x:v>
      </x:c>
      <x:c r="H65" s="2" t="str">
        <x:v>PT Darma Henwa Tbk dan Entitas Anak 31 Des 2025.pdf</x:v>
      </x:c>
      <x:c r="I65" s="2" t="str">
        <x:v>IDR thousand</x:v>
      </x:c>
      <x:c r="J65" s="2"/>
      <x:c r="K65" s="1"/>
      <x:c r="L65" s="1"/>
    </x:row>
    <x:row r="66" ht="21" customHeight="1">
      <x:c r="A66" s="1"/>
      <x:c r="B66" s="1"/>
      <x:c r="C66" s="1" t="str">
        <x:v>FY2025</x:v>
      </x:c>
      <x:c r="D66" s="2" t="str">
        <x:v>nci</x:v>
      </x:c>
      <x:c r="E66" s="10" t="n">
        <x:v>15267619</x:v>
      </x:c>
      <x:c r="F66" s="9" t="n">
        <x:f>E66/1000000</x:f>
        <x:v>15.267619</x:v>
      </x:c>
      <x:c r="G66" s="2" t="n">
        <x:v>28</x:v>
      </x:c>
      <x:c r="H66" s="2" t="str">
        <x:v>PT Darma Henwa Tbk dan Entitas Anak 31 Des 2025.pdf</x:v>
      </x:c>
      <x:c r="I66" s="2" t="str">
        <x:v>IDR thousand</x:v>
      </x:c>
      <x:c r="J66" s="2"/>
      <x:c r="K66" s="1"/>
      <x:c r="L66" s="1"/>
    </x:row>
    <x:row r="67" ht="21" customHeight="1">
      <x:c r="A67" s="1"/>
      <x:c r="B67" s="1"/>
      <x:c r="C67" s="1" t="str">
        <x:v>FY2025</x:v>
      </x:c>
      <x:c r="D67" s="2" t="str">
        <x:v>treasury_cost</x:v>
      </x:c>
      <x:c r="E67" s="10" t="n">
        <x:v>160288054</x:v>
      </x:c>
      <x:c r="F67" s="9" t="n">
        <x:f>E67/1000000</x:f>
        <x:v>160.288054</x:v>
      </x:c>
      <x:c r="G67" s="2" t="n">
        <x:v>28</x:v>
      </x:c>
      <x:c r="H67" s="2" t="str">
        <x:v>PT Darma Henwa Tbk dan Entitas Anak 31 Des 2025.pdf</x:v>
      </x:c>
      <x:c r="I67" s="2" t="str">
        <x:v>IDR thousand</x:v>
      </x:c>
      <x:c r="J67" s="2"/>
      <x:c r="K67" s="1"/>
      <x:c r="L67" s="1"/>
    </x:row>
    <x:row r="68" ht="21" customHeight="1">
      <x:c r="A68" s="1"/>
      <x:c r="B68" s="1"/>
      <x:c r="C68" s="1" t="str">
        <x:v>FY2025</x:v>
      </x:c>
      <x:c r="D68" s="2" t="str">
        <x:v>cfo</x:v>
      </x:c>
      <x:c r="E68" s="10" t="n">
        <x:v>1456111678</x:v>
      </x:c>
      <x:c r="F68" s="9" t="n">
        <x:f>E68/1000000</x:f>
        <x:v>1456.111678</x:v>
      </x:c>
      <x:c r="G68" s="2" t="n">
        <x:v>32</x:v>
      </x:c>
      <x:c r="H68" s="2" t="str">
        <x:v>PT Darma Henwa Tbk dan Entitas Anak 31 Des 2025.pdf</x:v>
      </x:c>
      <x:c r="I68" s="2" t="str">
        <x:v>IDR thousand</x:v>
      </x:c>
      <x:c r="J68" s="2"/>
      <x:c r="K68" s="1"/>
      <x:c r="L68" s="1"/>
    </x:row>
    <x:row r="69" ht="21" customHeight="1">
      <x:c r="A69" s="1"/>
      <x:c r="B69" s="1"/>
      <x:c r="C69" s="1" t="str">
        <x:v>FY2025</x:v>
      </x:c>
      <x:c r="D69" s="2" t="str">
        <x:v>capex</x:v>
      </x:c>
      <x:c r="E69" s="10" t="n">
        <x:v>1588907875</x:v>
      </x:c>
      <x:c r="F69" s="9" t="n">
        <x:f>E69/1000000</x:f>
        <x:v>1588.907875</x:v>
      </x:c>
      <x:c r="G69" s="2" t="n">
        <x:v>32</x:v>
      </x:c>
      <x:c r="H69" s="2" t="str">
        <x:v>PT Darma Henwa Tbk dan Entitas Anak 31 Des 2025.pdf</x:v>
      </x:c>
      <x:c r="I69" s="2" t="str">
        <x:v>IDR thousand</x:v>
      </x:c>
      <x:c r="J69" s="2"/>
      <x:c r="K69" s="1"/>
      <x:c r="L69" s="1"/>
    </x:row>
    <x:row r="70" ht="21" customHeight="1">
      <x:c r="A70" s="1"/>
      <x:c r="B70" s="1"/>
      <x:c r="C70" s="1" t="str">
        <x:v>FY2025</x:v>
      </x:c>
      <x:c r="D70" s="2" t="str">
        <x:v>cfi</x:v>
      </x:c>
      <x:c r="E70" s="10" t="n">
        <x:v>-1686223847</x:v>
      </x:c>
      <x:c r="F70" s="9" t="n">
        <x:f>E70/1000000</x:f>
        <x:v>-1686.223847</x:v>
      </x:c>
      <x:c r="G70" s="2" t="n">
        <x:v>32</x:v>
      </x:c>
      <x:c r="H70" s="2" t="str">
        <x:v>PT Darma Henwa Tbk dan Entitas Anak 31 Des 2025.pdf</x:v>
      </x:c>
      <x:c r="I70" s="2" t="str">
        <x:v>IDR thousand</x:v>
      </x:c>
      <x:c r="J70" s="2"/>
      <x:c r="K70" s="1"/>
      <x:c r="L70" s="1"/>
    </x:row>
    <x:row r="71" ht="21" customHeight="1">
      <x:c r="A71" s="1"/>
      <x:c r="B71" s="1"/>
      <x:c r="C71" s="1" t="str">
        <x:v>FY2025</x:v>
      </x:c>
      <x:c r="D71" s="2" t="str">
        <x:v>cff</x:v>
      </x:c>
      <x:c r="E71" s="10" t="n">
        <x:v>1474212487</x:v>
      </x:c>
      <x:c r="F71" s="9" t="n">
        <x:f>E71/1000000</x:f>
        <x:v>1474.212487</x:v>
      </x:c>
      <x:c r="G71" s="2" t="n">
        <x:v>33</x:v>
      </x:c>
      <x:c r="H71" s="2" t="str">
        <x:v>PT Darma Henwa Tbk dan Entitas Anak 31 Des 2025.pdf</x:v>
      </x:c>
      <x:c r="I71" s="2" t="str">
        <x:v>IDR thousand</x:v>
      </x:c>
      <x:c r="J71" s="2"/>
      <x:c r="K71" s="1"/>
      <x:c r="L71" s="1"/>
    </x:row>
    <x:row r="72" ht="21" customHeight="1">
      <x:c r="A72" s="1"/>
      <x:c r="B72" s="1"/>
      <x:c r="C72" s="1" t="str">
        <x:v>FY2025</x:v>
      </x:c>
      <x:c r="D72" s="2" t="str">
        <x:v>opening_cash</x:v>
      </x:c>
      <x:c r="E72" s="10" t="n">
        <x:v>346530081</x:v>
      </x:c>
      <x:c r="F72" s="9" t="n">
        <x:f>E72/1000000</x:f>
        <x:v>346.530081</x:v>
      </x:c>
      <x:c r="G72" s="2" t="n">
        <x:v>33</x:v>
      </x:c>
      <x:c r="H72" s="2" t="str">
        <x:v>PT Darma Henwa Tbk dan Entitas Anak 31 Des 2025.pdf</x:v>
      </x:c>
      <x:c r="I72" s="2" t="str">
        <x:v>IDR thousand</x:v>
      </x:c>
      <x:c r="J72" s="2"/>
      <x:c r="K72" s="1"/>
      <x:c r="L72" s="1"/>
    </x:row>
    <x:row r="73" ht="21" customHeight="1">
      <x:c r="A73" s="1"/>
      <x:c r="B73" s="1"/>
      <x:c r="C73" s="1" t="str">
        <x:v>FY2024R</x:v>
      </x:c>
      <x:c r="D73" s="2" t="str">
        <x:v>assets</x:v>
      </x:c>
      <x:c r="E73" s="10" t="n">
        <x:v>8534262123</x:v>
      </x:c>
      <x:c r="F73" s="9" t="n">
        <x:f>E73/1000000</x:f>
        <x:v>8534.262123</x:v>
      </x:c>
      <x:c r="G73" s="2" t="n">
        <x:v>26</x:v>
      </x:c>
      <x:c r="H73" s="2" t="str">
        <x:v>PT Darma Henwa Tbk dan Entitas Anak 31 Des 2025.pdf</x:v>
      </x:c>
      <x:c r="I73" s="2" t="str">
        <x:v>IDR thousand</x:v>
      </x:c>
      <x:c r="J73" s="2"/>
      <x:c r="K73" s="1"/>
      <x:c r="L73" s="1"/>
    </x:row>
    <x:row r="74" ht="21" customHeight="1">
      <x:c r="A74" s="1"/>
      <x:c r="B74" s="1"/>
      <x:c r="C74" s="1" t="str">
        <x:v>FY2024R</x:v>
      </x:c>
      <x:c r="D74" s="2" t="str">
        <x:v>cash</x:v>
      </x:c>
      <x:c r="E74" s="10" t="n">
        <x:v>346530081</x:v>
      </x:c>
      <x:c r="F74" s="9" t="n">
        <x:f>E74/1000000</x:f>
        <x:v>346.530081</x:v>
      </x:c>
      <x:c r="G74" s="2" t="n">
        <x:v>26</x:v>
      </x:c>
      <x:c r="H74" s="2" t="str">
        <x:v>PT Darma Henwa Tbk dan Entitas Anak 31 Des 2025.pdf</x:v>
      </x:c>
      <x:c r="I74" s="2" t="str">
        <x:v>IDR thousand</x:v>
      </x:c>
      <x:c r="J74" s="2"/>
      <x:c r="K74" s="1"/>
      <x:c r="L74" s="1"/>
    </x:row>
    <x:row r="75" ht="21" customHeight="1">
      <x:c r="A75" s="1"/>
      <x:c r="B75" s="1"/>
      <x:c r="C75" s="1" t="str">
        <x:v>FY2024R</x:v>
      </x:c>
      <x:c r="D75" s="2" t="str">
        <x:v>liabilities</x:v>
      </x:c>
      <x:c r="E75" s="10" t="n">
        <x:v>5495545182</x:v>
      </x:c>
      <x:c r="F75" s="9" t="n">
        <x:f>E75/1000000</x:f>
        <x:v>5495.545182</x:v>
      </x:c>
      <x:c r="G75" s="2" t="n">
        <x:v>28</x:v>
      </x:c>
      <x:c r="H75" s="2" t="str">
        <x:v>PT Darma Henwa Tbk dan Entitas Anak 31 Des 2025.pdf</x:v>
      </x:c>
      <x:c r="I75" s="2" t="str">
        <x:v>IDR thousand</x:v>
      </x:c>
      <x:c r="J75" s="2"/>
      <x:c r="K75" s="1"/>
      <x:c r="L75" s="1"/>
    </x:row>
    <x:row r="76" ht="21" customHeight="1">
      <x:c r="A76" s="1"/>
      <x:c r="B76" s="1"/>
      <x:c r="C76" s="1" t="str">
        <x:v>FY2024R</x:v>
      </x:c>
      <x:c r="D76" s="2" t="str">
        <x:v>equity</x:v>
      </x:c>
      <x:c r="E76" s="10" t="n">
        <x:v>3038716941</x:v>
      </x:c>
      <x:c r="F76" s="9" t="n">
        <x:f>E76/1000000</x:f>
        <x:v>3038.716941</x:v>
      </x:c>
      <x:c r="G76" s="2" t="n">
        <x:v>28</x:v>
      </x:c>
      <x:c r="H76" s="2" t="str">
        <x:v>PT Darma Henwa Tbk dan Entitas Anak 31 Des 2025.pdf</x:v>
      </x:c>
      <x:c r="I76" s="2" t="str">
        <x:v>IDR thousand</x:v>
      </x:c>
      <x:c r="J76" s="2"/>
      <x:c r="K76" s="1"/>
      <x:c r="L76" s="1"/>
    </x:row>
    <x:row r="77" ht="21" customHeight="1">
      <x:c r="A77" s="1"/>
      <x:c r="B77" s="1"/>
      <x:c r="C77" s="1" t="str">
        <x:v>FY2024R</x:v>
      </x:c>
      <x:c r="D77" s="2" t="str">
        <x:v>parent_equity</x:v>
      </x:c>
      <x:c r="E77" s="10" t="n">
        <x:v>3035773470</x:v>
      </x:c>
      <x:c r="F77" s="9" t="n">
        <x:f>E77/1000000</x:f>
        <x:v>3035.77347</x:v>
      </x:c>
      <x:c r="G77" s="2" t="n">
        <x:v>28</x:v>
      </x:c>
      <x:c r="H77" s="2" t="str">
        <x:v>PT Darma Henwa Tbk dan Entitas Anak 31 Des 2025.pdf</x:v>
      </x:c>
      <x:c r="I77" s="2" t="str">
        <x:v>IDR thousand</x:v>
      </x:c>
      <x:c r="J77" s="2"/>
      <x:c r="K77" s="1"/>
      <x:c r="L77" s="1"/>
    </x:row>
    <x:row r="78" ht="21" customHeight="1">
      <x:c r="A78" s="1"/>
      <x:c r="B78" s="1"/>
      <x:c r="C78" s="1" t="str">
        <x:v>FY2024R</x:v>
      </x:c>
      <x:c r="D78" s="2" t="str">
        <x:v>nci</x:v>
      </x:c>
      <x:c r="E78" s="10" t="n">
        <x:v>2943471</x:v>
      </x:c>
      <x:c r="F78" s="9" t="n">
        <x:f>E78/1000000</x:f>
        <x:v>2.943471</x:v>
      </x:c>
      <x:c r="G78" s="2" t="n">
        <x:v>28</x:v>
      </x:c>
      <x:c r="H78" s="2" t="str">
        <x:v>PT Darma Henwa Tbk dan Entitas Anak 31 Des 2025.pdf</x:v>
      </x:c>
      <x:c r="I78" s="2" t="str">
        <x:v>IDR thousand</x:v>
      </x:c>
      <x:c r="J78" s="2"/>
      <x:c r="K78" s="1"/>
      <x:c r="L78" s="1"/>
    </x:row>
    <x:row r="79" ht="21" customHeight="1">
      <x:c r="A79" s="1"/>
      <x:c r="B79" s="1"/>
      <x:c r="C79" s="1" t="str">
        <x:v>Q1YTD2026</x:v>
      </x:c>
      <x:c r="D79" s="2" t="str">
        <x:v>revenue</x:v>
      </x:c>
      <x:c r="E79" s="10" t="n">
        <x:v>1549301627</x:v>
      </x:c>
      <x:c r="F79" s="9" t="n">
        <x:f>E79/1000000</x:f>
        <x:v>1549.301627</x:v>
      </x:c>
      <x:c r="G79" s="2" t="n">
        <x:v>18</x:v>
      </x:c>
      <x:c r="H79" s="2" t="str">
        <x:v>FinancialStatement-2026-I-DEWA.pdf</x:v>
      </x:c>
      <x:c r="I79" s="2" t="str">
        <x:v>IDR thousand</x:v>
      </x:c>
      <x:c r="J79" s="2"/>
      <x:c r="K79" s="1"/>
      <x:c r="L79" s="1"/>
    </x:row>
    <x:row r="80" ht="21" customHeight="1">
      <x:c r="A80" s="1"/>
      <x:c r="B80" s="1"/>
      <x:c r="C80" s="1" t="str">
        <x:v>Q1YTD2026</x:v>
      </x:c>
      <x:c r="D80" s="2" t="str">
        <x:v>cogs</x:v>
      </x:c>
      <x:c r="E80" s="10" t="n">
        <x:v>1280540289</x:v>
      </x:c>
      <x:c r="F80" s="9" t="n">
        <x:f>E80/1000000</x:f>
        <x:v>1280.540289</x:v>
      </x:c>
      <x:c r="G80" s="2" t="n">
        <x:v>18</x:v>
      </x:c>
      <x:c r="H80" s="2" t="str">
        <x:v>FinancialStatement-2026-I-DEWA.pdf</x:v>
      </x:c>
      <x:c r="I80" s="2" t="str">
        <x:v>IDR thousand</x:v>
      </x:c>
      <x:c r="J80" s="2"/>
      <x:c r="K80" s="1"/>
      <x:c r="L80" s="1"/>
    </x:row>
    <x:row r="81" ht="21" customHeight="1">
      <x:c r="A81" s="1"/>
      <x:c r="B81" s="1"/>
      <x:c r="C81" s="1" t="str">
        <x:v>Q1YTD2026</x:v>
      </x:c>
      <x:c r="D81" s="2" t="str">
        <x:v>gross_profit</x:v>
      </x:c>
      <x:c r="E81" s="10" t="n">
        <x:v>268761338</x:v>
      </x:c>
      <x:c r="F81" s="9" t="n">
        <x:f>E81/1000000</x:f>
        <x:v>268.761338</x:v>
      </x:c>
      <x:c r="G81" s="2" t="n">
        <x:v>18</x:v>
      </x:c>
      <x:c r="H81" s="2" t="str">
        <x:v>FinancialStatement-2026-I-DEWA.pdf</x:v>
      </x:c>
      <x:c r="I81" s="2" t="str">
        <x:v>IDR thousand</x:v>
      </x:c>
      <x:c r="J81" s="2"/>
      <x:c r="K81" s="1"/>
      <x:c r="L81" s="1"/>
    </x:row>
    <x:row r="82" ht="21" customHeight="1">
      <x:c r="A82" s="1"/>
      <x:c r="B82" s="1"/>
      <x:c r="C82" s="1" t="str">
        <x:v>Q1YTD2026</x:v>
      </x:c>
      <x:c r="D82" s="2" t="str">
        <x:v>sga</x:v>
      </x:c>
      <x:c r="E82" s="10" t="n">
        <x:v>75935191</x:v>
      </x:c>
      <x:c r="F82" s="9" t="n">
        <x:f>E82/1000000</x:f>
        <x:v>75.935191</x:v>
      </x:c>
      <x:c r="G82" s="2" t="n">
        <x:v>18</x:v>
      </x:c>
      <x:c r="H82" s="2" t="str">
        <x:v>FinancialStatement-2026-I-DEWA.pdf</x:v>
      </x:c>
      <x:c r="I82" s="2" t="str">
        <x:v>IDR thousand</x:v>
      </x:c>
      <x:c r="J82" s="2"/>
      <x:c r="K82" s="1"/>
      <x:c r="L82" s="1"/>
    </x:row>
    <x:row r="83" ht="21" customHeight="1">
      <x:c r="A83" s="1"/>
      <x:c r="B83" s="1"/>
      <x:c r="C83" s="1" t="str">
        <x:v>Q1YTD2026</x:v>
      </x:c>
      <x:c r="D83" s="2" t="str">
        <x:v>finance_income</x:v>
      </x:c>
      <x:c r="E83" s="10" t="n">
        <x:v>2497218</x:v>
      </x:c>
      <x:c r="F83" s="9" t="n">
        <x:f>E83/1000000</x:f>
        <x:v>2.497218</x:v>
      </x:c>
      <x:c r="G83" s="2" t="n">
        <x:v>18</x:v>
      </x:c>
      <x:c r="H83" s="2" t="str">
        <x:v>FinancialStatement-2026-I-DEWA.pdf</x:v>
      </x:c>
      <x:c r="I83" s="2" t="str">
        <x:v>IDR thousand</x:v>
      </x:c>
      <x:c r="J83" s="2"/>
      <x:c r="K83" s="1"/>
      <x:c r="L83" s="1"/>
    </x:row>
    <x:row r="84" ht="21" customHeight="1">
      <x:c r="A84" s="1"/>
      <x:c r="B84" s="1"/>
      <x:c r="C84" s="1" t="str">
        <x:v>Q1YTD2026</x:v>
      </x:c>
      <x:c r="D84" s="2" t="str">
        <x:v>finance_cost</x:v>
      </x:c>
      <x:c r="E84" s="10" t="n">
        <x:v>70173427</x:v>
      </x:c>
      <x:c r="F84" s="9" t="n">
        <x:f>E84/1000000</x:f>
        <x:v>70.173427</x:v>
      </x:c>
      <x:c r="G84" s="2" t="n">
        <x:v>18</x:v>
      </x:c>
      <x:c r="H84" s="2" t="str">
        <x:v>FinancialStatement-2026-I-DEWA.pdf</x:v>
      </x:c>
      <x:c r="I84" s="2" t="str">
        <x:v>IDR thousand</x:v>
      </x:c>
      <x:c r="J84" s="2"/>
      <x:c r="K84" s="1"/>
      <x:c r="L84" s="1"/>
    </x:row>
    <x:row r="85" ht="21" customHeight="1">
      <x:c r="A85" s="1"/>
      <x:c r="B85" s="1"/>
      <x:c r="C85" s="1" t="str">
        <x:v>Q1YTD2026</x:v>
      </x:c>
      <x:c r="D85" s="2" t="str">
        <x:v>fx</x:v>
      </x:c>
      <x:c r="E85" s="10" t="n">
        <x:v>1629892</x:v>
      </x:c>
      <x:c r="F85" s="9" t="n">
        <x:f>E85/1000000</x:f>
        <x:v>1.629892</x:v>
      </x:c>
      <x:c r="G85" s="2" t="n">
        <x:v>18</x:v>
      </x:c>
      <x:c r="H85" s="2" t="str">
        <x:v>FinancialStatement-2026-I-DEWA.pdf</x:v>
      </x:c>
      <x:c r="I85" s="2" t="str">
        <x:v>IDR thousand</x:v>
      </x:c>
      <x:c r="J85" s="2"/>
      <x:c r="K85" s="1"/>
      <x:c r="L85" s="1"/>
    </x:row>
    <x:row r="86" ht="21" customHeight="1">
      <x:c r="A86" s="1"/>
      <x:c r="B86" s="1"/>
      <x:c r="C86" s="1" t="str">
        <x:v>Q1YTD2026</x:v>
      </x:c>
      <x:c r="D86" s="2" t="str">
        <x:v>associates</x:v>
      </x:c>
      <x:c r="E86" s="10" t="n">
        <x:v>0</x:v>
      </x:c>
      <x:c r="F86" s="9" t="n">
        <x:f>E86/1000000</x:f>
        <x:v>0</x:v>
      </x:c>
      <x:c r="G86" s="2" t="n">
        <x:v>18</x:v>
      </x:c>
      <x:c r="H86" s="2" t="str">
        <x:v>FinancialStatement-2026-I-DEWA.pdf</x:v>
      </x:c>
      <x:c r="I86" s="2" t="str">
        <x:v>IDR thousand</x:v>
      </x:c>
      <x:c r="J86" s="2"/>
      <x:c r="K86" s="1"/>
      <x:c r="L86" s="1"/>
    </x:row>
    <x:row r="87" ht="21" customHeight="1">
      <x:c r="A87" s="1"/>
      <x:c r="B87" s="1"/>
      <x:c r="C87" s="1" t="str">
        <x:v>Q1YTD2026</x:v>
      </x:c>
      <x:c r="D87" s="2" t="str">
        <x:v>final_tax</x:v>
      </x:c>
      <x:c r="E87" s="10" t="n">
        <x:v>105457</x:v>
      </x:c>
      <x:c r="F87" s="9" t="n">
        <x:f>E87/1000000</x:f>
        <x:v>0.105457</x:v>
      </x:c>
      <x:c r="G87" s="2" t="n">
        <x:v>18</x:v>
      </x:c>
      <x:c r="H87" s="2" t="str">
        <x:v>FinancialStatement-2026-I-DEWA.pdf</x:v>
      </x:c>
      <x:c r="I87" s="2" t="str">
        <x:v>IDR thousand</x:v>
      </x:c>
      <x:c r="J87" s="2"/>
      <x:c r="K87" s="1"/>
      <x:c r="L87" s="1"/>
    </x:row>
    <x:row r="88" ht="21" customHeight="1">
      <x:c r="A88" s="1"/>
      <x:c r="B88" s="1"/>
      <x:c r="C88" s="1" t="str">
        <x:v>Q1YTD2026</x:v>
      </x:c>
      <x:c r="D88" s="2" t="str">
        <x:v>other</x:v>
      </x:c>
      <x:c r="E88" s="10" t="n">
        <x:v>-10000428</x:v>
      </x:c>
      <x:c r="F88" s="9" t="n">
        <x:f>E88/1000000</x:f>
        <x:v>-10.000428</x:v>
      </x:c>
      <x:c r="G88" s="2" t="n">
        <x:v>18</x:v>
      </x:c>
      <x:c r="H88" s="2" t="str">
        <x:v>FinancialStatement-2026-I-DEWA.pdf</x:v>
      </x:c>
      <x:c r="I88" s="2" t="str">
        <x:v>IDR thousand</x:v>
      </x:c>
      <x:c r="J88" s="2"/>
      <x:c r="K88" s="1"/>
      <x:c r="L88" s="1"/>
    </x:row>
    <x:row r="89" ht="21" customHeight="1">
      <x:c r="A89" s="1"/>
      <x:c r="B89" s="1"/>
      <x:c r="C89" s="1" t="str">
        <x:v>Q1YTD2026</x:v>
      </x:c>
      <x:c r="D89" s="2" t="str">
        <x:v>pbt</x:v>
      </x:c>
      <x:c r="E89" s="10" t="n">
        <x:v>116673945</x:v>
      </x:c>
      <x:c r="F89" s="9" t="n">
        <x:f>E89/1000000</x:f>
        <x:v>116.673945</x:v>
      </x:c>
      <x:c r="G89" s="2" t="n">
        <x:v>18</x:v>
      </x:c>
      <x:c r="H89" s="2" t="str">
        <x:v>FinancialStatement-2026-I-DEWA.pdf</x:v>
      </x:c>
      <x:c r="I89" s="2" t="str">
        <x:v>IDR thousand</x:v>
      </x:c>
      <x:c r="J89" s="2"/>
      <x:c r="K89" s="1"/>
      <x:c r="L89" s="1"/>
    </x:row>
    <x:row r="90" ht="21" customHeight="1">
      <x:c r="A90" s="1"/>
      <x:c r="B90" s="1"/>
      <x:c r="C90" s="1" t="str">
        <x:v>Q1YTD2026</x:v>
      </x:c>
      <x:c r="D90" s="2" t="str">
        <x:v>tax_expense</x:v>
      </x:c>
      <x:c r="E90" s="10" t="n">
        <x:v>23957204</x:v>
      </x:c>
      <x:c r="F90" s="9" t="n">
        <x:f>E90/1000000</x:f>
        <x:v>23.957204</x:v>
      </x:c>
      <x:c r="G90" s="2" t="n">
        <x:v>18</x:v>
      </x:c>
      <x:c r="H90" s="2" t="str">
        <x:v>FinancialStatement-2026-I-DEWA.pdf</x:v>
      </x:c>
      <x:c r="I90" s="2" t="str">
        <x:v>IDR thousand</x:v>
      </x:c>
      <x:c r="J90" s="2"/>
      <x:c r="K90" s="1"/>
      <x:c r="L90" s="1"/>
    </x:row>
    <x:row r="91" ht="21" customHeight="1">
      <x:c r="A91" s="1"/>
      <x:c r="B91" s="1"/>
      <x:c r="C91" s="1" t="str">
        <x:v>Q1YTD2026</x:v>
      </x:c>
      <x:c r="D91" s="2" t="str">
        <x:v>net_income</x:v>
      </x:c>
      <x:c r="E91" s="10" t="n">
        <x:v>92716741</x:v>
      </x:c>
      <x:c r="F91" s="9" t="n">
        <x:f>E91/1000000</x:f>
        <x:v>92.716741</x:v>
      </x:c>
      <x:c r="G91" s="2" t="n">
        <x:v>18</x:v>
      </x:c>
      <x:c r="H91" s="2" t="str">
        <x:v>FinancialStatement-2026-I-DEWA.pdf</x:v>
      </x:c>
      <x:c r="I91" s="2" t="str">
        <x:v>IDR thousand</x:v>
      </x:c>
      <x:c r="J91" s="2"/>
      <x:c r="K91" s="1"/>
      <x:c r="L91" s="1"/>
    </x:row>
    <x:row r="92" ht="21" customHeight="1">
      <x:c r="A92" s="1"/>
      <x:c r="B92" s="1"/>
      <x:c r="C92" s="1" t="str">
        <x:v>Q2YTD2026</x:v>
      </x:c>
      <x:c r="D92" s="2" t="str">
        <x:v>revenue</x:v>
      </x:c>
      <x:c r="E92" s="10" t="n">
        <x:v>3206116454</x:v>
      </x:c>
      <x:c r="F92" s="9" t="n">
        <x:f>E92/1000000</x:f>
        <x:v>3206.116454</x:v>
      </x:c>
      <x:c r="G92" s="2" t="n">
        <x:v>20</x:v>
      </x:c>
      <x:c r="H92" s="2" t="str">
        <x:v>FinancialStatement-2026-II-DEWA.pdf</x:v>
      </x:c>
      <x:c r="I92" s="2" t="str">
        <x:v>IDR thousand</x:v>
      </x:c>
      <x:c r="J92" s="2"/>
      <x:c r="K92" s="1"/>
      <x:c r="L92" s="1"/>
    </x:row>
    <x:row r="93" ht="21" customHeight="1">
      <x:c r="A93" s="1"/>
      <x:c r="B93" s="1"/>
      <x:c r="C93" s="1" t="str">
        <x:v>Q2YTD2026</x:v>
      </x:c>
      <x:c r="D93" s="2" t="str">
        <x:v>cogs</x:v>
      </x:c>
      <x:c r="E93" s="10" t="n">
        <x:v>2593956166</x:v>
      </x:c>
      <x:c r="F93" s="9" t="n">
        <x:f>E93/1000000</x:f>
        <x:v>2593.956166</x:v>
      </x:c>
      <x:c r="G93" s="2" t="n">
        <x:v>20</x:v>
      </x:c>
      <x:c r="H93" s="2" t="str">
        <x:v>FinancialStatement-2026-II-DEWA.pdf</x:v>
      </x:c>
      <x:c r="I93" s="2" t="str">
        <x:v>IDR thousand</x:v>
      </x:c>
      <x:c r="J93" s="2"/>
      <x:c r="K93" s="1"/>
      <x:c r="L93" s="1"/>
    </x:row>
    <x:row r="94" ht="21" customHeight="1">
      <x:c r="A94" s="1"/>
      <x:c r="B94" s="1"/>
      <x:c r="C94" s="1" t="str">
        <x:v>Q2YTD2026</x:v>
      </x:c>
      <x:c r="D94" s="2" t="str">
        <x:v>gross_profit</x:v>
      </x:c>
      <x:c r="E94" s="10" t="n">
        <x:v>612160288</x:v>
      </x:c>
      <x:c r="F94" s="9" t="n">
        <x:f>E94/1000000</x:f>
        <x:v>612.160288</x:v>
      </x:c>
      <x:c r="G94" s="2" t="n">
        <x:v>20</x:v>
      </x:c>
      <x:c r="H94" s="2" t="str">
        <x:v>FinancialStatement-2026-II-DEWA.pdf</x:v>
      </x:c>
      <x:c r="I94" s="2" t="str">
        <x:v>IDR thousand</x:v>
      </x:c>
      <x:c r="J94" s="2"/>
      <x:c r="K94" s="1"/>
      <x:c r="L94" s="1"/>
    </x:row>
    <x:row r="95" ht="21" customHeight="1">
      <x:c r="A95" s="1"/>
      <x:c r="B95" s="1"/>
      <x:c r="C95" s="1" t="str">
        <x:v>Q2YTD2026</x:v>
      </x:c>
      <x:c r="D95" s="2" t="str">
        <x:v>sga</x:v>
      </x:c>
      <x:c r="E95" s="10" t="n">
        <x:v>202503602</x:v>
      </x:c>
      <x:c r="F95" s="9" t="n">
        <x:f>E95/1000000</x:f>
        <x:v>202.503602</x:v>
      </x:c>
      <x:c r="G95" s="2" t="n">
        <x:v>20</x:v>
      </x:c>
      <x:c r="H95" s="2" t="str">
        <x:v>FinancialStatement-2026-II-DEWA.pdf</x:v>
      </x:c>
      <x:c r="I95" s="2" t="str">
        <x:v>IDR thousand</x:v>
      </x:c>
      <x:c r="J95" s="2"/>
      <x:c r="K95" s="1"/>
      <x:c r="L95" s="1"/>
    </x:row>
    <x:row r="96" ht="21" customHeight="1">
      <x:c r="A96" s="1"/>
      <x:c r="B96" s="1"/>
      <x:c r="C96" s="1" t="str">
        <x:v>Q2YTD2026</x:v>
      </x:c>
      <x:c r="D96" s="2" t="str">
        <x:v>finance_income</x:v>
      </x:c>
      <x:c r="E96" s="10" t="n">
        <x:v>3920690</x:v>
      </x:c>
      <x:c r="F96" s="9" t="n">
        <x:f>E96/1000000</x:f>
        <x:v>3.92069</x:v>
      </x:c>
      <x:c r="G96" s="2" t="n">
        <x:v>20</x:v>
      </x:c>
      <x:c r="H96" s="2" t="str">
        <x:v>FinancialStatement-2026-II-DEWA.pdf</x:v>
      </x:c>
      <x:c r="I96" s="2" t="str">
        <x:v>IDR thousand</x:v>
      </x:c>
      <x:c r="J96" s="2"/>
      <x:c r="K96" s="1"/>
      <x:c r="L96" s="1"/>
    </x:row>
    <x:row r="97" ht="21" customHeight="1">
      <x:c r="A97" s="1"/>
      <x:c r="B97" s="1"/>
      <x:c r="C97" s="1" t="str">
        <x:v>Q2YTD2026</x:v>
      </x:c>
      <x:c r="D97" s="2" t="str">
        <x:v>finance_cost</x:v>
      </x:c>
      <x:c r="E97" s="10" t="n">
        <x:v>207155959</x:v>
      </x:c>
      <x:c r="F97" s="9" t="n">
        <x:f>E97/1000000</x:f>
        <x:v>207.155959</x:v>
      </x:c>
      <x:c r="G97" s="2" t="n">
        <x:v>20</x:v>
      </x:c>
      <x:c r="H97" s="2" t="str">
        <x:v>FinancialStatement-2026-II-DEWA.pdf</x:v>
      </x:c>
      <x:c r="I97" s="2" t="str">
        <x:v>IDR thousand</x:v>
      </x:c>
      <x:c r="J97" s="2"/>
      <x:c r="K97" s="1"/>
      <x:c r="L97" s="1"/>
    </x:row>
    <x:row r="98" ht="21" customHeight="1">
      <x:c r="A98" s="1"/>
      <x:c r="B98" s="1"/>
      <x:c r="C98" s="1" t="str">
        <x:v>Q2YTD2026</x:v>
      </x:c>
      <x:c r="D98" s="2" t="str">
        <x:v>fx</x:v>
      </x:c>
      <x:c r="E98" s="10" t="n">
        <x:v>4135855</x:v>
      </x:c>
      <x:c r="F98" s="9" t="n">
        <x:f>E98/1000000</x:f>
        <x:v>4.135855</x:v>
      </x:c>
      <x:c r="G98" s="2" t="n">
        <x:v>20</x:v>
      </x:c>
      <x:c r="H98" s="2" t="str">
        <x:v>FinancialStatement-2026-II-DEWA.pdf</x:v>
      </x:c>
      <x:c r="I98" s="2" t="str">
        <x:v>IDR thousand</x:v>
      </x:c>
      <x:c r="J98" s="2"/>
      <x:c r="K98" s="1"/>
      <x:c r="L98" s="1"/>
    </x:row>
    <x:row r="99" ht="21" customHeight="1">
      <x:c r="A99" s="1"/>
      <x:c r="B99" s="1"/>
      <x:c r="C99" s="1" t="str">
        <x:v>Q2YTD2026</x:v>
      </x:c>
      <x:c r="D99" s="2" t="str">
        <x:v>associates</x:v>
      </x:c>
      <x:c r="E99" s="10" t="n">
        <x:v>-108269</x:v>
      </x:c>
      <x:c r="F99" s="9" t="n">
        <x:f>E99/1000000</x:f>
        <x:v>-0.108269</x:v>
      </x:c>
      <x:c r="G99" s="2" t="n">
        <x:v>20</x:v>
      </x:c>
      <x:c r="H99" s="2" t="str">
        <x:v>FinancialStatement-2026-II-DEWA.pdf</x:v>
      </x:c>
      <x:c r="I99" s="2" t="str">
        <x:v>IDR thousand</x:v>
      </x:c>
      <x:c r="J99" s="2"/>
      <x:c r="K99" s="1"/>
      <x:c r="L99" s="1"/>
    </x:row>
    <x:row r="100" ht="21" customHeight="1">
      <x:c r="A100" s="1"/>
      <x:c r="B100" s="1"/>
      <x:c r="C100" s="1" t="str">
        <x:v>Q2YTD2026</x:v>
      </x:c>
      <x:c r="D100" s="2" t="str">
        <x:v>final_tax</x:v>
      </x:c>
      <x:c r="E100" s="10" t="n">
        <x:v>2022429</x:v>
      </x:c>
      <x:c r="F100" s="9" t="n">
        <x:f>E100/1000000</x:f>
        <x:v>2.022429</x:v>
      </x:c>
      <x:c r="G100" s="2" t="n">
        <x:v>20</x:v>
      </x:c>
      <x:c r="H100" s="2" t="str">
        <x:v>FinancialStatement-2026-II-DEWA.pdf</x:v>
      </x:c>
      <x:c r="I100" s="2" t="str">
        <x:v>IDR thousand</x:v>
      </x:c>
      <x:c r="J100" s="2"/>
      <x:c r="K100" s="1"/>
      <x:c r="L100" s="1"/>
    </x:row>
    <x:row r="101" ht="21" customHeight="1">
      <x:c r="A101" s="1"/>
      <x:c r="B101" s="1"/>
      <x:c r="C101" s="1" t="str">
        <x:v>Q2YTD2026</x:v>
      </x:c>
      <x:c r="D101" s="2" t="str">
        <x:v>other</x:v>
      </x:c>
      <x:c r="E101" s="10" t="n">
        <x:v>255669766</x:v>
      </x:c>
      <x:c r="F101" s="9" t="n">
        <x:f>E101/1000000</x:f>
        <x:v>255.669766</x:v>
      </x:c>
      <x:c r="G101" s="2" t="n">
        <x:v>20</x:v>
      </x:c>
      <x:c r="H101" s="2" t="str">
        <x:v>FinancialStatement-2026-II-DEWA.pdf</x:v>
      </x:c>
      <x:c r="I101" s="2" t="str">
        <x:v>IDR thousand</x:v>
      </x:c>
      <x:c r="J101" s="2"/>
      <x:c r="K101" s="1"/>
      <x:c r="L101" s="1"/>
    </x:row>
    <x:row r="102" ht="21" customHeight="1">
      <x:c r="A102" s="1"/>
      <x:c r="B102" s="1"/>
      <x:c r="C102" s="1" t="str">
        <x:v>Q2YTD2026</x:v>
      </x:c>
      <x:c r="D102" s="2" t="str">
        <x:v>pbt</x:v>
      </x:c>
      <x:c r="E102" s="10" t="n">
        <x:v>464096340</x:v>
      </x:c>
      <x:c r="F102" s="9" t="n">
        <x:f>E102/1000000</x:f>
        <x:v>464.09634</x:v>
      </x:c>
      <x:c r="G102" s="2" t="n">
        <x:v>20</x:v>
      </x:c>
      <x:c r="H102" s="2" t="str">
        <x:v>FinancialStatement-2026-II-DEWA.pdf</x:v>
      </x:c>
      <x:c r="I102" s="2" t="str">
        <x:v>IDR thousand</x:v>
      </x:c>
      <x:c r="J102" s="2"/>
      <x:c r="K102" s="1"/>
      <x:c r="L102" s="1"/>
    </x:row>
    <x:row r="103" ht="21" customHeight="1">
      <x:c r="A103" s="1"/>
      <x:c r="B103" s="1"/>
      <x:c r="C103" s="1" t="str">
        <x:v>Q2YTD2026</x:v>
      </x:c>
      <x:c r="D103" s="2" t="str">
        <x:v>tax_expense</x:v>
      </x:c>
      <x:c r="E103" s="10" t="n">
        <x:v>109864199</x:v>
      </x:c>
      <x:c r="F103" s="9" t="n">
        <x:f>E103/1000000</x:f>
        <x:v>109.864199</x:v>
      </x:c>
      <x:c r="G103" s="2" t="n">
        <x:v>20</x:v>
      </x:c>
      <x:c r="H103" s="2" t="str">
        <x:v>FinancialStatement-2026-II-DEWA.pdf</x:v>
      </x:c>
      <x:c r="I103" s="2" t="str">
        <x:v>IDR thousand</x:v>
      </x:c>
      <x:c r="J103" s="2"/>
      <x:c r="K103" s="1"/>
      <x:c r="L103" s="1"/>
    </x:row>
    <x:row r="104" ht="21" customHeight="1">
      <x:c r="A104" s="1"/>
      <x:c r="B104" s="1"/>
      <x:c r="C104" s="1" t="str">
        <x:v>Q2YTD2026</x:v>
      </x:c>
      <x:c r="D104" s="2" t="str">
        <x:v>net_income</x:v>
      </x:c>
      <x:c r="E104" s="10" t="n">
        <x:v>354232141</x:v>
      </x:c>
      <x:c r="F104" s="9" t="n">
        <x:f>E104/1000000</x:f>
        <x:v>354.232141</x:v>
      </x:c>
      <x:c r="G104" s="2" t="n">
        <x:v>20</x:v>
      </x:c>
      <x:c r="H104" s="2" t="str">
        <x:v>FinancialStatement-2026-II-DEWA.pdf</x:v>
      </x:c>
      <x:c r="I104" s="2" t="str">
        <x:v>IDR thousand</x:v>
      </x:c>
      <x:c r="J104" s="2"/>
      <x:c r="K104" s="1"/>
      <x:c r="L104" s="1"/>
    </x:row>
    <x:row r="105" ht="21" customHeight="1">
      <x:c r="A105" s="1"/>
      <x:c r="B105" s="1"/>
      <x:c r="C105" s="1" t="str">
        <x:v>Q3YTD2026</x:v>
      </x:c>
      <x:c r="D105" s="2" t="str">
        <x:v>revenue</x:v>
      </x:c>
      <x:c r="E105" s="10" t="n">
        <x:v>5102014681</x:v>
      </x:c>
      <x:c r="F105" s="9" t="n">
        <x:f>E105/1000000</x:f>
        <x:v>5102.014681</x:v>
      </x:c>
      <x:c r="G105" s="2" t="n">
        <x:v>18</x:v>
      </x:c>
      <x:c r="H105" s="2" t="str">
        <x:v>FinancialStatement-2026-III-DEWA.pdf</x:v>
      </x:c>
      <x:c r="I105" s="2" t="str">
        <x:v>IDR thousand</x:v>
      </x:c>
      <x:c r="J105" s="2"/>
      <x:c r="K105" s="1"/>
      <x:c r="L105" s="1"/>
    </x:row>
    <x:row r="106" ht="21" customHeight="1">
      <x:c r="A106" s="1"/>
      <x:c r="B106" s="1"/>
      <x:c r="C106" s="1" t="str">
        <x:v>Q3YTD2026</x:v>
      </x:c>
      <x:c r="D106" s="2" t="str">
        <x:v>cogs</x:v>
      </x:c>
      <x:c r="E106" s="10" t="n">
        <x:v>4067226463</x:v>
      </x:c>
      <x:c r="F106" s="9" t="n">
        <x:f>E106/1000000</x:f>
        <x:v>4067.226463</x:v>
      </x:c>
      <x:c r="G106" s="2" t="n">
        <x:v>18</x:v>
      </x:c>
      <x:c r="H106" s="2" t="str">
        <x:v>FinancialStatement-2026-III-DEWA.pdf</x:v>
      </x:c>
      <x:c r="I106" s="2" t="str">
        <x:v>IDR thousand</x:v>
      </x:c>
      <x:c r="J106" s="2"/>
      <x:c r="K106" s="1"/>
      <x:c r="L106" s="1"/>
    </x:row>
    <x:row r="107" ht="21" customHeight="1">
      <x:c r="A107" s="1"/>
      <x:c r="B107" s="1"/>
      <x:c r="C107" s="1" t="str">
        <x:v>Q3YTD2026</x:v>
      </x:c>
      <x:c r="D107" s="2" t="str">
        <x:v>gross_profit</x:v>
      </x:c>
      <x:c r="E107" s="10" t="n">
        <x:v>1034788218</x:v>
      </x:c>
      <x:c r="F107" s="9" t="n">
        <x:f>E107/1000000</x:f>
        <x:v>1034.788218</x:v>
      </x:c>
      <x:c r="G107" s="2" t="n">
        <x:v>18</x:v>
      </x:c>
      <x:c r="H107" s="2" t="str">
        <x:v>FinancialStatement-2026-III-DEWA.pdf</x:v>
      </x:c>
      <x:c r="I107" s="2" t="str">
        <x:v>IDR thousand</x:v>
      </x:c>
      <x:c r="J107" s="2"/>
      <x:c r="K107" s="1"/>
      <x:c r="L107" s="1"/>
    </x:row>
    <x:row r="108" ht="21" customHeight="1">
      <x:c r="A108" s="1"/>
      <x:c r="B108" s="1"/>
      <x:c r="C108" s="1" t="str">
        <x:v>Q3YTD2026</x:v>
      </x:c>
      <x:c r="D108" s="2" t="str">
        <x:v>sga</x:v>
      </x:c>
      <x:c r="E108" s="10" t="n">
        <x:v>322352375</x:v>
      </x:c>
      <x:c r="F108" s="9" t="n">
        <x:f>E108/1000000</x:f>
        <x:v>322.352375</x:v>
      </x:c>
      <x:c r="G108" s="2" t="n">
        <x:v>18</x:v>
      </x:c>
      <x:c r="H108" s="2" t="str">
        <x:v>FinancialStatement-2026-III-DEWA.pdf</x:v>
      </x:c>
      <x:c r="I108" s="2" t="str">
        <x:v>IDR thousand</x:v>
      </x:c>
      <x:c r="J108" s="2"/>
      <x:c r="K108" s="1"/>
      <x:c r="L108" s="1"/>
    </x:row>
    <x:row r="109" ht="21" customHeight="1">
      <x:c r="A109" s="1"/>
      <x:c r="B109" s="1"/>
      <x:c r="C109" s="1" t="str">
        <x:v>Q3YTD2026</x:v>
      </x:c>
      <x:c r="D109" s="2" t="str">
        <x:v>finance_income</x:v>
      </x:c>
      <x:c r="E109" s="10" t="n">
        <x:v>5565778</x:v>
      </x:c>
      <x:c r="F109" s="9" t="n">
        <x:f>E109/1000000</x:f>
        <x:v>5.565778</x:v>
      </x:c>
      <x:c r="G109" s="2" t="n">
        <x:v>18</x:v>
      </x:c>
      <x:c r="H109" s="2" t="str">
        <x:v>FinancialStatement-2026-III-DEWA.pdf</x:v>
      </x:c>
      <x:c r="I109" s="2" t="str">
        <x:v>IDR thousand</x:v>
      </x:c>
      <x:c r="J109" s="2"/>
      <x:c r="K109" s="1"/>
      <x:c r="L109" s="1"/>
    </x:row>
    <x:row r="110" ht="21" customHeight="1">
      <x:c r="A110" s="1"/>
      <x:c r="B110" s="1"/>
      <x:c r="C110" s="1" t="str">
        <x:v>Q3YTD2026</x:v>
      </x:c>
      <x:c r="D110" s="2" t="str">
        <x:v>finance_cost</x:v>
      </x:c>
      <x:c r="E110" s="10" t="n">
        <x:v>319431476</x:v>
      </x:c>
      <x:c r="F110" s="9" t="n">
        <x:f>E110/1000000</x:f>
        <x:v>319.431476</x:v>
      </x:c>
      <x:c r="G110" s="2" t="n">
        <x:v>18</x:v>
      </x:c>
      <x:c r="H110" s="2" t="str">
        <x:v>FinancialStatement-2026-III-DEWA.pdf</x:v>
      </x:c>
      <x:c r="I110" s="2" t="str">
        <x:v>IDR thousand</x:v>
      </x:c>
      <x:c r="J110" s="2"/>
      <x:c r="K110" s="1"/>
      <x:c r="L110" s="1"/>
    </x:row>
    <x:row r="111" ht="21" customHeight="1">
      <x:c r="A111" s="1"/>
      <x:c r="B111" s="1"/>
      <x:c r="C111" s="1" t="str">
        <x:v>Q3YTD2026</x:v>
      </x:c>
      <x:c r="D111" s="2" t="str">
        <x:v>fx</x:v>
      </x:c>
      <x:c r="E111" s="10" t="n">
        <x:v>3538426</x:v>
      </x:c>
      <x:c r="F111" s="9" t="n">
        <x:f>E111/1000000</x:f>
        <x:v>3.538426</x:v>
      </x:c>
      <x:c r="G111" s="2" t="n">
        <x:v>18</x:v>
      </x:c>
      <x:c r="H111" s="2" t="str">
        <x:v>FinancialStatement-2026-III-DEWA.pdf</x:v>
      </x:c>
      <x:c r="I111" s="2" t="str">
        <x:v>IDR thousand</x:v>
      </x:c>
      <x:c r="J111" s="2"/>
      <x:c r="K111" s="1"/>
      <x:c r="L111" s="1"/>
    </x:row>
    <x:row r="112" ht="21" customHeight="1">
      <x:c r="A112" s="1"/>
      <x:c r="B112" s="1"/>
      <x:c r="C112" s="1" t="str">
        <x:v>Q3YTD2026</x:v>
      </x:c>
      <x:c r="D112" s="2" t="str">
        <x:v>associates</x:v>
      </x:c>
      <x:c r="E112" s="10" t="n">
        <x:v>-108269</x:v>
      </x:c>
      <x:c r="F112" s="9" t="n">
        <x:f>E112/1000000</x:f>
        <x:v>-0.108269</x:v>
      </x:c>
      <x:c r="G112" s="2" t="n">
        <x:v>18</x:v>
      </x:c>
      <x:c r="H112" s="2" t="str">
        <x:v>FinancialStatement-2026-III-DEWA.pdf</x:v>
      </x:c>
      <x:c r="I112" s="2" t="str">
        <x:v>IDR thousand</x:v>
      </x:c>
      <x:c r="J112" s="2"/>
      <x:c r="K112" s="1"/>
      <x:c r="L112" s="1"/>
    </x:row>
    <x:row r="113" ht="21" customHeight="1">
      <x:c r="A113" s="1"/>
      <x:c r="B113" s="1"/>
      <x:c r="C113" s="1" t="str">
        <x:v>Q3YTD2026</x:v>
      </x:c>
      <x:c r="D113" s="2" t="str">
        <x:v>final_tax</x:v>
      </x:c>
      <x:c r="E113" s="10" t="n">
        <x:v>2299684</x:v>
      </x:c>
      <x:c r="F113" s="9" t="n">
        <x:f>E113/1000000</x:f>
        <x:v>2.299684</x:v>
      </x:c>
      <x:c r="G113" s="2" t="n">
        <x:v>18</x:v>
      </x:c>
      <x:c r="H113" s="2" t="str">
        <x:v>FinancialStatement-2026-III-DEWA.pdf</x:v>
      </x:c>
      <x:c r="I113" s="2" t="str">
        <x:v>IDR thousand</x:v>
      </x:c>
      <x:c r="J113" s="2"/>
      <x:c r="K113" s="1"/>
      <x:c r="L113" s="1"/>
    </x:row>
    <x:row r="114" ht="21" customHeight="1">
      <x:c r="A114" s="1"/>
      <x:c r="B114" s="1"/>
      <x:c r="C114" s="1" t="str">
        <x:v>Q3YTD2026</x:v>
      </x:c>
      <x:c r="D114" s="2" t="str">
        <x:v>other</x:v>
      </x:c>
      <x:c r="E114" s="10" t="n">
        <x:v>260203417</x:v>
      </x:c>
      <x:c r="F114" s="9" t="n">
        <x:f>E114/1000000</x:f>
        <x:v>260.203417</x:v>
      </x:c>
      <x:c r="G114" s="2" t="n">
        <x:v>18</x:v>
      </x:c>
      <x:c r="H114" s="2" t="str">
        <x:v>FinancialStatement-2026-III-DEWA.pdf</x:v>
      </x:c>
      <x:c r="I114" s="2" t="str">
        <x:v>IDR thousand</x:v>
      </x:c>
      <x:c r="J114" s="2"/>
      <x:c r="K114" s="1"/>
      <x:c r="L114" s="1"/>
    </x:row>
    <x:row r="115" ht="21" customHeight="1">
      <x:c r="A115" s="1"/>
      <x:c r="B115" s="1"/>
      <x:c r="C115" s="1" t="str">
        <x:v>Q3YTD2026</x:v>
      </x:c>
      <x:c r="D115" s="2" t="str">
        <x:v>pbt</x:v>
      </x:c>
      <x:c r="E115" s="10" t="n">
        <x:v>659904035</x:v>
      </x:c>
      <x:c r="F115" s="9" t="n">
        <x:f>E115/1000000</x:f>
        <x:v>659.904035</x:v>
      </x:c>
      <x:c r="G115" s="2" t="n">
        <x:v>18</x:v>
      </x:c>
      <x:c r="H115" s="2" t="str">
        <x:v>FinancialStatement-2026-III-DEWA.pdf</x:v>
      </x:c>
      <x:c r="I115" s="2" t="str">
        <x:v>IDR thousand</x:v>
      </x:c>
      <x:c r="J115" s="2"/>
      <x:c r="K115" s="1"/>
      <x:c r="L115" s="1"/>
    </x:row>
    <x:row r="116" ht="21" customHeight="1">
      <x:c r="A116" s="1"/>
      <x:c r="B116" s="1"/>
      <x:c r="C116" s="1" t="str">
        <x:v>Q3YTD2026</x:v>
      </x:c>
      <x:c r="D116" s="2" t="str">
        <x:v>tax_expense</x:v>
      </x:c>
      <x:c r="E116" s="10" t="n">
        <x:v>146844161</x:v>
      </x:c>
      <x:c r="F116" s="9" t="n">
        <x:f>E116/1000000</x:f>
        <x:v>146.844161</x:v>
      </x:c>
      <x:c r="G116" s="2" t="n">
        <x:v>18</x:v>
      </x:c>
      <x:c r="H116" s="2" t="str">
        <x:v>FinancialStatement-2026-III-DEWA.pdf</x:v>
      </x:c>
      <x:c r="I116" s="2" t="str">
        <x:v>IDR thousand</x:v>
      </x:c>
      <x:c r="J116" s="2"/>
      <x:c r="K116" s="1"/>
      <x:c r="L116" s="1"/>
    </x:row>
    <x:row r="117" ht="21" customHeight="1">
      <x:c r="A117" s="1"/>
      <x:c r="B117" s="1"/>
      <x:c r="C117" s="1" t="str">
        <x:v>Q3YTD2026</x:v>
      </x:c>
      <x:c r="D117" s="2" t="str">
        <x:v>net_income</x:v>
      </x:c>
      <x:c r="E117" s="10" t="n">
        <x:v>513059874</x:v>
      </x:c>
      <x:c r="F117" s="9" t="n">
        <x:f>E117/1000000</x:f>
        <x:v>513.059874</x:v>
      </x:c>
      <x:c r="G117" s="2" t="n">
        <x:v>18</x:v>
      </x:c>
      <x:c r="H117" s="2" t="str">
        <x:v>FinancialStatement-2026-III-DEWA.pdf</x:v>
      </x:c>
      <x:c r="I117" s="2" t="str">
        <x:v>IDR thousand</x:v>
      </x:c>
      <x:c r="J117" s="2"/>
      <x:c r="K117" s="1"/>
      <x:c r="L117" s="1"/>
    </x:row>
    <x:row r="118" ht="21" customHeight="1">
      <x:c r="A118" s="1"/>
      <x:c r="B118" s="1"/>
      <x:c r="C118" s="1" t="str">
        <x:v>Q3YTD2025</x:v>
      </x:c>
      <x:c r="D118" s="2" t="str">
        <x:v>revenue</x:v>
      </x:c>
      <x:c r="E118" s="10" t="n">
        <x:v>4650366326</x:v>
      </x:c>
      <x:c r="F118" s="9" t="n">
        <x:f>E118/1000000</x:f>
        <x:v>4650.366326</x:v>
      </x:c>
      <x:c r="G118" s="2" t="n">
        <x:v>18</x:v>
      </x:c>
      <x:c r="H118" s="2" t="str">
        <x:v>FinancialStatement-2026-III-DEWA.pdf</x:v>
      </x:c>
      <x:c r="I118" s="2" t="str">
        <x:v>IDR thousand</x:v>
      </x:c>
      <x:c r="J118" s="2"/>
      <x:c r="K118" s="1"/>
      <x:c r="L118" s="1"/>
    </x:row>
    <x:row r="119" ht="21" customHeight="1">
      <x:c r="A119" s="1"/>
      <x:c r="B119" s="1"/>
      <x:c r="C119" s="1" t="str">
        <x:v>Q3YTD2025</x:v>
      </x:c>
      <x:c r="D119" s="2" t="str">
        <x:v>cogs</x:v>
      </x:c>
      <x:c r="E119" s="10" t="n">
        <x:v>3977214157</x:v>
      </x:c>
      <x:c r="F119" s="9" t="n">
        <x:f>E119/1000000</x:f>
        <x:v>3977.214157</x:v>
      </x:c>
      <x:c r="G119" s="2" t="n">
        <x:v>18</x:v>
      </x:c>
      <x:c r="H119" s="2" t="str">
        <x:v>FinancialStatement-2026-III-DEWA.pdf</x:v>
      </x:c>
      <x:c r="I119" s="2" t="str">
        <x:v>IDR thousand</x:v>
      </x:c>
      <x:c r="J119" s="2"/>
      <x:c r="K119" s="1"/>
      <x:c r="L119" s="1"/>
    </x:row>
    <x:row r="120" ht="21" customHeight="1">
      <x:c r="A120" s="1"/>
      <x:c r="B120" s="1"/>
      <x:c r="C120" s="1" t="str">
        <x:v>Q3YTD2025</x:v>
      </x:c>
      <x:c r="D120" s="2" t="str">
        <x:v>gross_profit</x:v>
      </x:c>
      <x:c r="E120" s="10" t="n">
        <x:v>673152169</x:v>
      </x:c>
      <x:c r="F120" s="9" t="n">
        <x:f>E120/1000000</x:f>
        <x:v>673.152169</x:v>
      </x:c>
      <x:c r="G120" s="2" t="n">
        <x:v>18</x:v>
      </x:c>
      <x:c r="H120" s="2" t="str">
        <x:v>FinancialStatement-2026-III-DEWA.pdf</x:v>
      </x:c>
      <x:c r="I120" s="2" t="str">
        <x:v>IDR thousand</x:v>
      </x:c>
      <x:c r="J120" s="2"/>
      <x:c r="K120" s="1"/>
      <x:c r="L120" s="1"/>
    </x:row>
    <x:row r="121" ht="21" customHeight="1">
      <x:c r="A121" s="1"/>
      <x:c r="B121" s="1"/>
      <x:c r="C121" s="1" t="str">
        <x:v>Q3YTD2025</x:v>
      </x:c>
      <x:c r="D121" s="2" t="str">
        <x:v>sga</x:v>
      </x:c>
      <x:c r="E121" s="10" t="n">
        <x:v>181709238</x:v>
      </x:c>
      <x:c r="F121" s="9" t="n">
        <x:f>E121/1000000</x:f>
        <x:v>181.709238</x:v>
      </x:c>
      <x:c r="G121" s="2" t="n">
        <x:v>18</x:v>
      </x:c>
      <x:c r="H121" s="2" t="str">
        <x:v>FinancialStatement-2026-III-DEWA.pdf</x:v>
      </x:c>
      <x:c r="I121" s="2" t="str">
        <x:v>IDR thousand</x:v>
      </x:c>
      <x:c r="J121" s="2"/>
      <x:c r="K121" s="1"/>
      <x:c r="L121" s="1"/>
    </x:row>
    <x:row r="122" ht="21" customHeight="1">
      <x:c r="A122" s="1"/>
      <x:c r="B122" s="1"/>
      <x:c r="C122" s="1" t="str">
        <x:v>Q3YTD2025</x:v>
      </x:c>
      <x:c r="D122" s="2" t="str">
        <x:v>finance_income</x:v>
      </x:c>
      <x:c r="E122" s="10" t="n">
        <x:v>5539977</x:v>
      </x:c>
      <x:c r="F122" s="9" t="n">
        <x:f>E122/1000000</x:f>
        <x:v>5.539977</x:v>
      </x:c>
      <x:c r="G122" s="2" t="n">
        <x:v>18</x:v>
      </x:c>
      <x:c r="H122" s="2" t="str">
        <x:v>FinancialStatement-2026-III-DEWA.pdf</x:v>
      </x:c>
      <x:c r="I122" s="2" t="str">
        <x:v>IDR thousand</x:v>
      </x:c>
      <x:c r="J122" s="2"/>
      <x:c r="K122" s="1"/>
      <x:c r="L122" s="1"/>
    </x:row>
    <x:row r="123" ht="21" customHeight="1">
      <x:c r="A123" s="1"/>
      <x:c r="B123" s="1"/>
      <x:c r="C123" s="1" t="str">
        <x:v>Q3YTD2025</x:v>
      </x:c>
      <x:c r="D123" s="2" t="str">
        <x:v>finance_cost</x:v>
      </x:c>
      <x:c r="E123" s="10" t="n">
        <x:v>177979268</x:v>
      </x:c>
      <x:c r="F123" s="9" t="n">
        <x:f>E123/1000000</x:f>
        <x:v>177.979268</x:v>
      </x:c>
      <x:c r="G123" s="2" t="n">
        <x:v>18</x:v>
      </x:c>
      <x:c r="H123" s="2" t="str">
        <x:v>FinancialStatement-2026-III-DEWA.pdf</x:v>
      </x:c>
      <x:c r="I123" s="2" t="str">
        <x:v>IDR thousand</x:v>
      </x:c>
      <x:c r="J123" s="2"/>
      <x:c r="K123" s="1"/>
      <x:c r="L123" s="1"/>
    </x:row>
    <x:row r="124" ht="21" customHeight="1">
      <x:c r="A124" s="1"/>
      <x:c r="B124" s="1"/>
      <x:c r="C124" s="1" t="str">
        <x:v>Q3YTD2025</x:v>
      </x:c>
      <x:c r="D124" s="2" t="str">
        <x:v>fx</x:v>
      </x:c>
      <x:c r="E124" s="10" t="n">
        <x:v>-2961729</x:v>
      </x:c>
      <x:c r="F124" s="9" t="n">
        <x:f>E124/1000000</x:f>
        <x:v>-2.961729</x:v>
      </x:c>
      <x:c r="G124" s="2" t="n">
        <x:v>18</x:v>
      </x:c>
      <x:c r="H124" s="2" t="str">
        <x:v>FinancialStatement-2026-III-DEWA.pdf</x:v>
      </x:c>
      <x:c r="I124" s="2" t="str">
        <x:v>IDR thousand</x:v>
      </x:c>
      <x:c r="J124" s="2"/>
      <x:c r="K124" s="1"/>
      <x:c r="L124" s="1"/>
    </x:row>
    <x:row r="125" ht="21" customHeight="1">
      <x:c r="A125" s="1"/>
      <x:c r="B125" s="1"/>
      <x:c r="C125" s="1" t="str">
        <x:v>Q3YTD2025</x:v>
      </x:c>
      <x:c r="D125" s="2" t="str">
        <x:v>associates</x:v>
      </x:c>
      <x:c r="E125" s="10" t="n">
        <x:v>72538</x:v>
      </x:c>
      <x:c r="F125" s="9" t="n">
        <x:f>E125/1000000</x:f>
        <x:v>0.072538</x:v>
      </x:c>
      <x:c r="G125" s="2" t="n">
        <x:v>18</x:v>
      </x:c>
      <x:c r="H125" s="2" t="str">
        <x:v>FinancialStatement-2026-III-DEWA.pdf</x:v>
      </x:c>
      <x:c r="I125" s="2" t="str">
        <x:v>IDR thousand</x:v>
      </x:c>
      <x:c r="J125" s="2"/>
      <x:c r="K125" s="1"/>
      <x:c r="L125" s="1"/>
    </x:row>
    <x:row r="126" ht="21" customHeight="1">
      <x:c r="A126" s="1"/>
      <x:c r="B126" s="1"/>
      <x:c r="C126" s="1" t="str">
        <x:v>Q3YTD2025</x:v>
      </x:c>
      <x:c r="D126" s="2" t="str">
        <x:v>final_tax</x:v>
      </x:c>
      <x:c r="E126" s="10" t="n">
        <x:v>2955124</x:v>
      </x:c>
      <x:c r="F126" s="9" t="n">
        <x:f>E126/1000000</x:f>
        <x:v>2.955124</x:v>
      </x:c>
      <x:c r="G126" s="2" t="n">
        <x:v>18</x:v>
      </x:c>
      <x:c r="H126" s="2" t="str">
        <x:v>FinancialStatement-2026-III-DEWA.pdf</x:v>
      </x:c>
      <x:c r="I126" s="2" t="str">
        <x:v>IDR thousand</x:v>
      </x:c>
      <x:c r="J126" s="2"/>
      <x:c r="K126" s="1"/>
      <x:c r="L126" s="1"/>
    </x:row>
    <x:row r="127" ht="21" customHeight="1">
      <x:c r="A127" s="1"/>
      <x:c r="B127" s="1"/>
      <x:c r="C127" s="1" t="str">
        <x:v>Q3YTD2025</x:v>
      </x:c>
      <x:c r="D127" s="2" t="str">
        <x:v>other</x:v>
      </x:c>
      <x:c r="E127" s="10" t="n">
        <x:v>19864226</x:v>
      </x:c>
      <x:c r="F127" s="9" t="n">
        <x:f>E127/1000000</x:f>
        <x:v>19.864226</x:v>
      </x:c>
      <x:c r="G127" s="2" t="n">
        <x:v>18</x:v>
      </x:c>
      <x:c r="H127" s="2" t="str">
        <x:v>FinancialStatement-2026-III-DEWA.pdf</x:v>
      </x:c>
      <x:c r="I127" s="2" t="str">
        <x:v>IDR thousand</x:v>
      </x:c>
      <x:c r="J127" s="2"/>
      <x:c r="K127" s="1"/>
      <x:c r="L127" s="1"/>
    </x:row>
    <x:row r="128" ht="21" customHeight="1">
      <x:c r="A128" s="1"/>
      <x:c r="B128" s="1"/>
      <x:c r="C128" s="1" t="str">
        <x:v>Q3YTD2025</x:v>
      </x:c>
      <x:c r="D128" s="2" t="str">
        <x:v>pbt</x:v>
      </x:c>
      <x:c r="E128" s="10" t="n">
        <x:v>333023551</x:v>
      </x:c>
      <x:c r="F128" s="9" t="n">
        <x:f>E128/1000000</x:f>
        <x:v>333.023551</x:v>
      </x:c>
      <x:c r="G128" s="2" t="n">
        <x:v>18</x:v>
      </x:c>
      <x:c r="H128" s="2" t="str">
        <x:v>FinancialStatement-2026-III-DEWA.pdf</x:v>
      </x:c>
      <x:c r="I128" s="2" t="str">
        <x:v>IDR thousand</x:v>
      </x:c>
      <x:c r="J128" s="2"/>
      <x:c r="K128" s="1"/>
      <x:c r="L128" s="1"/>
    </x:row>
    <x:row r="129" ht="21" customHeight="1">
      <x:c r="A129" s="1"/>
      <x:c r="B129" s="1"/>
      <x:c r="C129" s="1" t="str">
        <x:v>Q3YTD2025</x:v>
      </x:c>
      <x:c r="D129" s="2" t="str">
        <x:v>tax_expense</x:v>
      </x:c>
      <x:c r="E129" s="10" t="n">
        <x:v>93854790</x:v>
      </x:c>
      <x:c r="F129" s="9" t="n">
        <x:f>E129/1000000</x:f>
        <x:v>93.85479</x:v>
      </x:c>
      <x:c r="G129" s="2" t="n">
        <x:v>18</x:v>
      </x:c>
      <x:c r="H129" s="2" t="str">
        <x:v>FinancialStatement-2026-III-DEWA.pdf</x:v>
      </x:c>
      <x:c r="I129" s="2" t="str">
        <x:v>IDR thousand</x:v>
      </x:c>
      <x:c r="J129" s="2"/>
      <x:c r="K129" s="1"/>
      <x:c r="L129" s="1"/>
    </x:row>
    <x:row r="130" ht="21" customHeight="1">
      <x:c r="A130" s="1"/>
      <x:c r="B130" s="1"/>
      <x:c r="C130" s="1" t="str">
        <x:v>Q3YTD2025</x:v>
      </x:c>
      <x:c r="D130" s="2" t="str">
        <x:v>net_income</x:v>
      </x:c>
      <x:c r="E130" s="10" t="n">
        <x:v>239168761</x:v>
      </x:c>
      <x:c r="F130" s="9" t="n">
        <x:f>E130/1000000</x:f>
        <x:v>239.168761</x:v>
      </x:c>
      <x:c r="G130" s="2" t="n">
        <x:v>18</x:v>
      </x:c>
      <x:c r="H130" s="2" t="str">
        <x:v>FinancialStatement-2026-III-DEWA.pdf</x:v>
      </x:c>
      <x:c r="I130" s="2" t="str">
        <x:v>IDR thousand</x:v>
      </x:c>
      <x:c r="J130" s="2"/>
      <x:c r="K130" s="1"/>
      <x:c r="L130" s="1"/>
    </x:row>
    <x:row r="131" ht="21" customHeight="1">
      <x:c r="A131" s="1"/>
      <x:c r="B131" s="1"/>
      <x:c r="C131" s="1" t="str">
        <x:v>Q1YTD2026</x:v>
      </x:c>
      <x:c r="D131" s="2" t="str">
        <x:v>assets</x:v>
      </x:c>
      <x:c r="E131" s="10" t="n">
        <x:v>15952540404</x:v>
      </x:c>
      <x:c r="F131" s="9" t="n">
        <x:f>E131/1000000</x:f>
        <x:v>15952.540404</x:v>
      </x:c>
      <x:c r="G131" s="2" t="n">
        <x:v>8</x:v>
      </x:c>
      <x:c r="H131" s="2" t="str">
        <x:v>FinancialStatement-2026-I-DEWA.pdf</x:v>
      </x:c>
      <x:c r="I131" s="2" t="str">
        <x:v>IDR thousand</x:v>
      </x:c>
      <x:c r="J131" s="2"/>
      <x:c r="K131" s="1"/>
      <x:c r="L131" s="1"/>
    </x:row>
    <x:row r="132" ht="21" customHeight="1">
      <x:c r="A132" s="1"/>
      <x:c r="B132" s="1"/>
      <x:c r="C132" s="1" t="str">
        <x:v>Q1YTD2026</x:v>
      </x:c>
      <x:c r="D132" s="2" t="str">
        <x:v>liabilities</x:v>
      </x:c>
      <x:c r="E132" s="10" t="n">
        <x:v>8060112649</x:v>
      </x:c>
      <x:c r="F132" s="9" t="n">
        <x:f>E132/1000000</x:f>
        <x:v>8060.112649</x:v>
      </x:c>
      <x:c r="G132" s="2" t="n">
        <x:v>16</x:v>
      </x:c>
      <x:c r="H132" s="2" t="str">
        <x:v>FinancialStatement-2026-I-DEWA.pdf</x:v>
      </x:c>
      <x:c r="I132" s="2" t="str">
        <x:v>IDR thousand</x:v>
      </x:c>
      <x:c r="J132" s="2"/>
      <x:c r="K132" s="1"/>
      <x:c r="L132" s="1"/>
    </x:row>
    <x:row r="133" ht="21" customHeight="1">
      <x:c r="A133" s="1"/>
      <x:c r="B133" s="1"/>
      <x:c r="C133" s="1" t="str">
        <x:v>Q1YTD2026</x:v>
      </x:c>
      <x:c r="D133" s="2" t="str">
        <x:v>equity</x:v>
      </x:c>
      <x:c r="E133" s="10" t="n">
        <x:v>7892427755</x:v>
      </x:c>
      <x:c r="F133" s="9" t="n">
        <x:f>E133/1000000</x:f>
        <x:v>7892.427755</x:v>
      </x:c>
      <x:c r="G133" s="2" t="n">
        <x:v>17</x:v>
      </x:c>
      <x:c r="H133" s="2" t="str">
        <x:v>FinancialStatement-2026-I-DEWA.pdf</x:v>
      </x:c>
      <x:c r="I133" s="2" t="str">
        <x:v>IDR thousand</x:v>
      </x:c>
      <x:c r="J133" s="2"/>
      <x:c r="K133" s="1"/>
      <x:c r="L133" s="1"/>
    </x:row>
    <x:row r="134" ht="21" customHeight="1">
      <x:c r="A134" s="1"/>
      <x:c r="B134" s="1"/>
      <x:c r="C134" s="1" t="str">
        <x:v>Q1YTD2026</x:v>
      </x:c>
      <x:c r="D134" s="2" t="str">
        <x:v>parent_equity</x:v>
      </x:c>
      <x:c r="E134" s="10" t="n">
        <x:v>7877160533</x:v>
      </x:c>
      <x:c r="F134" s="9" t="n">
        <x:f>E134/1000000</x:f>
        <x:v>7877.160533</x:v>
      </x:c>
      <x:c r="G134" s="2" t="n">
        <x:v>17</x:v>
      </x:c>
      <x:c r="H134" s="2" t="str">
        <x:v>FinancialStatement-2026-I-DEWA.pdf</x:v>
      </x:c>
      <x:c r="I134" s="2" t="str">
        <x:v>IDR thousand</x:v>
      </x:c>
      <x:c r="J134" s="2"/>
      <x:c r="K134" s="1"/>
      <x:c r="L134" s="1"/>
    </x:row>
    <x:row r="135" ht="21" customHeight="1">
      <x:c r="A135" s="1"/>
      <x:c r="B135" s="1"/>
      <x:c r="C135" s="1" t="str">
        <x:v>Q1YTD2026</x:v>
      </x:c>
      <x:c r="D135" s="2" t="str">
        <x:v>nci</x:v>
      </x:c>
      <x:c r="E135" s="10" t="n">
        <x:v>15267222</x:v>
      </x:c>
      <x:c r="F135" s="9" t="n">
        <x:f>E135/1000000</x:f>
        <x:v>15.267222</x:v>
      </x:c>
      <x:c r="G135" s="2" t="n">
        <x:v>17</x:v>
      </x:c>
      <x:c r="H135" s="2" t="str">
        <x:v>FinancialStatement-2026-I-DEWA.pdf</x:v>
      </x:c>
      <x:c r="I135" s="2" t="str">
        <x:v>IDR thousand</x:v>
      </x:c>
      <x:c r="J135" s="2"/>
      <x:c r="K135" s="1"/>
      <x:c r="L135" s="1"/>
    </x:row>
    <x:row r="136" ht="21" customHeight="1">
      <x:c r="A136" s="1"/>
      <x:c r="B136" s="1"/>
      <x:c r="C136" s="1" t="str">
        <x:v>Q1YTD2026</x:v>
      </x:c>
      <x:c r="D136" s="2" t="str">
        <x:v>cash</x:v>
      </x:c>
      <x:c r="E136" s="10" t="n">
        <x:v>486824326</x:v>
      </x:c>
      <x:c r="F136" s="9" t="n">
        <x:f>E136/1000000</x:f>
        <x:v>486.824326</x:v>
      </x:c>
      <x:c r="G136" s="2" t="n">
        <x:v>4</x:v>
      </x:c>
      <x:c r="H136" s="2" t="str">
        <x:v>FinancialStatement-2026-I-DEWA.pdf</x:v>
      </x:c>
      <x:c r="I136" s="2" t="str">
        <x:v>IDR thousand</x:v>
      </x:c>
      <x:c r="J136" s="2"/>
      <x:c r="K136" s="1"/>
      <x:c r="L136" s="1"/>
    </x:row>
    <x:row r="137" ht="21" customHeight="1">
      <x:c r="A137" s="1"/>
      <x:c r="B137" s="1"/>
      <x:c r="C137" s="1" t="str">
        <x:v>Q1YTD2026</x:v>
      </x:c>
      <x:c r="D137" s="2" t="str">
        <x:v>da_ppe</x:v>
      </x:c>
      <x:c r="E137" s="10" t="n">
        <x:v>239217769</x:v>
      </x:c>
      <x:c r="F137" s="9" t="n">
        <x:f>E137/1000000</x:f>
        <x:v>239.217769</x:v>
      </x:c>
      <x:c r="G137" s="2" t="n">
        <x:v>44</x:v>
      </x:c>
      <x:c r="H137" s="2" t="str">
        <x:v>FinancialStatement-2026-I-DEWA.pdf</x:v>
      </x:c>
      <x:c r="I137" s="2" t="str">
        <x:v>IDR thousand</x:v>
      </x:c>
      <x:c r="J137" s="2"/>
      <x:c r="K137" s="1"/>
      <x:c r="L137" s="1"/>
    </x:row>
    <x:row r="138" ht="21" customHeight="1">
      <x:c r="A138" s="1"/>
      <x:c r="B138" s="1"/>
      <x:c r="C138" s="1" t="str">
        <x:v>Q1YTD2026</x:v>
      </x:c>
      <x:c r="D138" s="2" t="str">
        <x:v>da_rou</x:v>
      </x:c>
      <x:c r="E138" s="10" t="n">
        <x:v>10188636</x:v>
      </x:c>
      <x:c r="F138" s="9" t="n">
        <x:f>E138/1000000</x:f>
        <x:v>10.188636</x:v>
      </x:c>
      <x:c r="G138" s="2" t="n">
        <x:v>48</x:v>
      </x:c>
      <x:c r="H138" s="2" t="str">
        <x:v>FinancialStatement-2026-I-DEWA.pdf</x:v>
      </x:c>
      <x:c r="I138" s="2" t="str">
        <x:v>IDR thousand</x:v>
      </x:c>
      <x:c r="J138" s="2"/>
      <x:c r="K138" s="1"/>
      <x:c r="L138" s="1"/>
    </x:row>
    <x:row r="139" ht="21" customHeight="1">
      <x:c r="A139" s="1"/>
      <x:c r="B139" s="1"/>
      <x:c r="C139" s="1" t="str">
        <x:v>Q1YTD2026</x:v>
      </x:c>
      <x:c r="D139" s="2" t="str">
        <x:v>cfo</x:v>
      </x:c>
      <x:c r="E139" s="10" t="n">
        <x:v>138414164</x:v>
      </x:c>
      <x:c r="F139" s="9" t="n">
        <x:f>E139/1000000</x:f>
        <x:v>138.414164</x:v>
      </x:c>
      <x:c r="G139" s="2" t="n">
        <x:v>25</x:v>
      </x:c>
      <x:c r="H139" s="2" t="str">
        <x:v>FinancialStatement-2026-I-DEWA.pdf</x:v>
      </x:c>
      <x:c r="I139" s="2" t="str">
        <x:v>IDR thousand</x:v>
      </x:c>
      <x:c r="J139" s="2"/>
      <x:c r="K139" s="1"/>
      <x:c r="L139" s="1"/>
    </x:row>
    <x:row r="140" ht="21" customHeight="1">
      <x:c r="A140" s="1"/>
      <x:c r="B140" s="1"/>
      <x:c r="C140" s="1" t="str">
        <x:v>Q1YTD2026</x:v>
      </x:c>
      <x:c r="D140" s="2" t="str">
        <x:v>cfi</x:v>
      </x:c>
      <x:c r="E140" s="10" t="n">
        <x:v>-251023442</x:v>
      </x:c>
      <x:c r="F140" s="9" t="n">
        <x:f>E140/1000000</x:f>
        <x:v>-251.023442</x:v>
      </x:c>
      <x:c r="G140" s="2" t="n">
        <x:v>29</x:v>
      </x:c>
      <x:c r="H140" s="2" t="str">
        <x:v>FinancialStatement-2026-I-DEWA.pdf</x:v>
      </x:c>
      <x:c r="I140" s="2" t="str">
        <x:v>IDR thousand</x:v>
      </x:c>
      <x:c r="J140" s="2"/>
      <x:c r="K140" s="1"/>
      <x:c r="L140" s="1"/>
    </x:row>
    <x:row r="141" ht="21" customHeight="1">
      <x:c r="A141" s="1"/>
      <x:c r="B141" s="1"/>
      <x:c r="C141" s="1" t="str">
        <x:v>Q1YTD2026</x:v>
      </x:c>
      <x:c r="D141" s="2" t="str">
        <x:v>cff</x:v>
      </x:c>
      <x:c r="E141" s="10" t="n">
        <x:v>-991196795</x:v>
      </x:c>
      <x:c r="F141" s="9" t="n">
        <x:f>E141/1000000</x:f>
        <x:v>-991.196795</x:v>
      </x:c>
      <x:c r="G141" s="2" t="n">
        <x:v>31</x:v>
      </x:c>
      <x:c r="H141" s="2" t="str">
        <x:v>FinancialStatement-2026-I-DEWA.pdf</x:v>
      </x:c>
      <x:c r="I141" s="2" t="str">
        <x:v>IDR thousand</x:v>
      </x:c>
      <x:c r="J141" s="2"/>
      <x:c r="K141" s="1"/>
      <x:c r="L141" s="1"/>
    </x:row>
    <x:row r="142" ht="21" customHeight="1">
      <x:c r="A142" s="1"/>
      <x:c r="B142" s="1"/>
      <x:c r="C142" s="1" t="str">
        <x:v>Q2YTD2026</x:v>
      </x:c>
      <x:c r="D142" s="2" t="str">
        <x:v>assets</x:v>
      </x:c>
      <x:c r="E142" s="10" t="n">
        <x:v>17626726284</x:v>
      </x:c>
      <x:c r="F142" s="9" t="n">
        <x:f>E142/1000000</x:f>
        <x:v>17626.726284</x:v>
      </x:c>
      <x:c r="G142" s="2" t="n">
        <x:v>10</x:v>
      </x:c>
      <x:c r="H142" s="2" t="str">
        <x:v>FinancialStatement-2026-II-DEWA.pdf</x:v>
      </x:c>
      <x:c r="I142" s="2" t="str">
        <x:v>IDR thousand</x:v>
      </x:c>
      <x:c r="J142" s="2"/>
      <x:c r="K142" s="1"/>
      <x:c r="L142" s="1"/>
    </x:row>
    <x:row r="143" ht="21" customHeight="1">
      <x:c r="A143" s="1"/>
      <x:c r="B143" s="1"/>
      <x:c r="C143" s="1" t="str">
        <x:v>Q2YTD2026</x:v>
      </x:c>
      <x:c r="D143" s="2" t="str">
        <x:v>liabilities</x:v>
      </x:c>
      <x:c r="E143" s="10" t="n">
        <x:v>9515555808</x:v>
      </x:c>
      <x:c r="F143" s="9" t="n">
        <x:f>E143/1000000</x:f>
        <x:v>9515.555808</x:v>
      </x:c>
      <x:c r="G143" s="2" t="n">
        <x:v>18</x:v>
      </x:c>
      <x:c r="H143" s="2" t="str">
        <x:v>FinancialStatement-2026-II-DEWA.pdf</x:v>
      </x:c>
      <x:c r="I143" s="2" t="str">
        <x:v>IDR thousand</x:v>
      </x:c>
      <x:c r="J143" s="2"/>
      <x:c r="K143" s="1"/>
      <x:c r="L143" s="1"/>
    </x:row>
    <x:row r="144" ht="21" customHeight="1">
      <x:c r="A144" s="1"/>
      <x:c r="B144" s="1"/>
      <x:c r="C144" s="1" t="str">
        <x:v>Q2YTD2026</x:v>
      </x:c>
      <x:c r="D144" s="2" t="str">
        <x:v>equity</x:v>
      </x:c>
      <x:c r="E144" s="10" t="n">
        <x:v>8111170476</x:v>
      </x:c>
      <x:c r="F144" s="9" t="n">
        <x:f>E144/1000000</x:f>
        <x:v>8111.170476</x:v>
      </x:c>
      <x:c r="G144" s="2" t="n">
        <x:v>19</x:v>
      </x:c>
      <x:c r="H144" s="2" t="str">
        <x:v>FinancialStatement-2026-II-DEWA.pdf</x:v>
      </x:c>
      <x:c r="I144" s="2" t="str">
        <x:v>IDR thousand</x:v>
      </x:c>
      <x:c r="J144" s="2"/>
      <x:c r="K144" s="1"/>
      <x:c r="L144" s="1"/>
    </x:row>
    <x:row r="145" ht="21" customHeight="1">
      <x:c r="A145" s="1"/>
      <x:c r="B145" s="1"/>
      <x:c r="C145" s="1" t="str">
        <x:v>Q2YTD2026</x:v>
      </x:c>
      <x:c r="D145" s="2" t="str">
        <x:v>parent_equity</x:v>
      </x:c>
      <x:c r="E145" s="10" t="n">
        <x:v>8095955109</x:v>
      </x:c>
      <x:c r="F145" s="9" t="n">
        <x:f>E145/1000000</x:f>
        <x:v>8095.955109</x:v>
      </x:c>
      <x:c r="G145" s="2" t="n">
        <x:v>19</x:v>
      </x:c>
      <x:c r="H145" s="2" t="str">
        <x:v>FinancialStatement-2026-II-DEWA.pdf</x:v>
      </x:c>
      <x:c r="I145" s="2" t="str">
        <x:v>IDR thousand</x:v>
      </x:c>
      <x:c r="J145" s="2"/>
      <x:c r="K145" s="1"/>
      <x:c r="L145" s="1"/>
    </x:row>
    <x:row r="146" ht="21" customHeight="1">
      <x:c r="A146" s="1"/>
      <x:c r="B146" s="1"/>
      <x:c r="C146" s="1" t="str">
        <x:v>Q2YTD2026</x:v>
      </x:c>
      <x:c r="D146" s="2" t="str">
        <x:v>nci</x:v>
      </x:c>
      <x:c r="E146" s="10" t="n">
        <x:v>15215367</x:v>
      </x:c>
      <x:c r="F146" s="9" t="n">
        <x:f>E146/1000000</x:f>
        <x:v>15.215367</x:v>
      </x:c>
      <x:c r="G146" s="2" t="n">
        <x:v>19</x:v>
      </x:c>
      <x:c r="H146" s="2" t="str">
        <x:v>FinancialStatement-2026-II-DEWA.pdf</x:v>
      </x:c>
      <x:c r="I146" s="2" t="str">
        <x:v>IDR thousand</x:v>
      </x:c>
      <x:c r="J146" s="2"/>
      <x:c r="K146" s="1"/>
      <x:c r="L146" s="1"/>
    </x:row>
    <x:row r="147" ht="21" customHeight="1">
      <x:c r="A147" s="1"/>
      <x:c r="B147" s="1"/>
      <x:c r="C147" s="1" t="str">
        <x:v>Q2YTD2026</x:v>
      </x:c>
      <x:c r="D147" s="2" t="str">
        <x:v>cash</x:v>
      </x:c>
      <x:c r="E147" s="10" t="n">
        <x:v>644250375</x:v>
      </x:c>
      <x:c r="F147" s="9" t="n">
        <x:f>E147/1000000</x:f>
        <x:v>644.250375</x:v>
      </x:c>
      <x:c r="G147" s="2" t="n">
        <x:v>6</x:v>
      </x:c>
      <x:c r="H147" s="2" t="str">
        <x:v>FinancialStatement-2026-II-DEWA.pdf</x:v>
      </x:c>
      <x:c r="I147" s="2" t="str">
        <x:v>IDR thousand</x:v>
      </x:c>
      <x:c r="J147" s="2"/>
      <x:c r="K147" s="1"/>
      <x:c r="L147" s="1"/>
    </x:row>
    <x:row r="148" ht="21" customHeight="1">
      <x:c r="A148" s="1"/>
      <x:c r="B148" s="1"/>
      <x:c r="C148" s="1" t="str">
        <x:v>Q2YTD2026</x:v>
      </x:c>
      <x:c r="D148" s="2" t="str">
        <x:v>da_ppe</x:v>
      </x:c>
      <x:c r="E148" s="10" t="n">
        <x:v>513356914</x:v>
      </x:c>
      <x:c r="F148" s="9" t="n">
        <x:f>E148/1000000</x:f>
        <x:v>513.356914</x:v>
      </x:c>
      <x:c r="G148" s="2" t="n">
        <x:v>47</x:v>
      </x:c>
      <x:c r="H148" s="2" t="str">
        <x:v>FinancialStatement-2026-II-DEWA.pdf</x:v>
      </x:c>
      <x:c r="I148" s="2" t="str">
        <x:v>IDR thousand</x:v>
      </x:c>
      <x:c r="J148" s="2"/>
      <x:c r="K148" s="1"/>
      <x:c r="L148" s="1"/>
    </x:row>
    <x:row r="149" ht="21" customHeight="1">
      <x:c r="A149" s="1"/>
      <x:c r="B149" s="1"/>
      <x:c r="C149" s="1" t="str">
        <x:v>Q2YTD2026</x:v>
      </x:c>
      <x:c r="D149" s="2" t="str">
        <x:v>da_rou</x:v>
      </x:c>
      <x:c r="E149" s="10" t="n">
        <x:v>13323571</x:v>
      </x:c>
      <x:c r="F149" s="9" t="n">
        <x:f>E149/1000000</x:f>
        <x:v>13.323571</x:v>
      </x:c>
      <x:c r="G149" s="2" t="n">
        <x:v>52</x:v>
      </x:c>
      <x:c r="H149" s="2" t="str">
        <x:v>FinancialStatement-2026-II-DEWA.pdf</x:v>
      </x:c>
      <x:c r="I149" s="2" t="str">
        <x:v>IDR thousand</x:v>
      </x:c>
      <x:c r="J149" s="2"/>
      <x:c r="K149" s="1"/>
      <x:c r="L149" s="1"/>
    </x:row>
    <x:row r="150" ht="21" customHeight="1">
      <x:c r="A150" s="1"/>
      <x:c r="B150" s="1"/>
      <x:c r="C150" s="1" t="str">
        <x:v>Q2YTD2026</x:v>
      </x:c>
      <x:c r="D150" s="2" t="str">
        <x:v>cfo</x:v>
      </x:c>
      <x:c r="E150" s="10" t="n">
        <x:v>658640617</x:v>
      </x:c>
      <x:c r="F150" s="9" t="n">
        <x:f>E150/1000000</x:f>
        <x:v>658.640617</x:v>
      </x:c>
      <x:c r="G150" s="2" t="n">
        <x:v>27</x:v>
      </x:c>
      <x:c r="H150" s="2" t="str">
        <x:v>FinancialStatement-2026-II-DEWA.pdf</x:v>
      </x:c>
      <x:c r="I150" s="2" t="str">
        <x:v>IDR thousand</x:v>
      </x:c>
      <x:c r="J150" s="2"/>
      <x:c r="K150" s="1"/>
      <x:c r="L150" s="1"/>
    </x:row>
    <x:row r="151" ht="21" customHeight="1">
      <x:c r="A151" s="1"/>
      <x:c r="B151" s="1"/>
      <x:c r="C151" s="1" t="str">
        <x:v>Q2YTD2026</x:v>
      </x:c>
      <x:c r="D151" s="2" t="str">
        <x:v>cfi</x:v>
      </x:c>
      <x:c r="E151" s="10" t="n">
        <x:v>-1471353989</x:v>
      </x:c>
      <x:c r="F151" s="9" t="n">
        <x:f>E151/1000000</x:f>
        <x:v>-1471.353989</x:v>
      </x:c>
      <x:c r="G151" s="2" t="n">
        <x:v>31</x:v>
      </x:c>
      <x:c r="H151" s="2" t="str">
        <x:v>FinancialStatement-2026-II-DEWA.pdf</x:v>
      </x:c>
      <x:c r="I151" s="2" t="str">
        <x:v>IDR thousand</x:v>
      </x:c>
      <x:c r="J151" s="2"/>
      <x:c r="K151" s="1"/>
      <x:c r="L151" s="1"/>
    </x:row>
    <x:row r="152" ht="21" customHeight="1">
      <x:c r="A152" s="1"/>
      <x:c r="B152" s="1"/>
      <x:c r="C152" s="1" t="str">
        <x:v>Q2YTD2026</x:v>
      </x:c>
      <x:c r="D152" s="2" t="str">
        <x:v>cff</x:v>
      </x:c>
      <x:c r="E152" s="10" t="n">
        <x:v>-133666652</x:v>
      </x:c>
      <x:c r="F152" s="9" t="n">
        <x:f>E152/1000000</x:f>
        <x:v>-133.666652</x:v>
      </x:c>
      <x:c r="G152" s="2" t="n">
        <x:v>33</x:v>
      </x:c>
      <x:c r="H152" s="2" t="str">
        <x:v>FinancialStatement-2026-II-DEWA.pdf</x:v>
      </x:c>
      <x:c r="I152" s="2" t="str">
        <x:v>IDR thousand</x:v>
      </x:c>
      <x:c r="J152" s="2"/>
      <x:c r="K152" s="1"/>
      <x:c r="L152" s="1"/>
    </x:row>
    <x:row r="153" ht="21" customHeight="1">
      <x:c r="A153" s="1"/>
      <x:c r="B153" s="1"/>
      <x:c r="C153" s="1" t="str">
        <x:v>Q3YTD2026</x:v>
      </x:c>
      <x:c r="D153" s="2" t="str">
        <x:v>assets</x:v>
      </x:c>
      <x:c r="E153" s="10" t="n">
        <x:v>18136812791</x:v>
      </x:c>
      <x:c r="F153" s="9" t="n">
        <x:f>E153/1000000</x:f>
        <x:v>18136.812791</x:v>
      </x:c>
      <x:c r="G153" s="2" t="n">
        <x:v>8</x:v>
      </x:c>
      <x:c r="H153" s="2" t="str">
        <x:v>FinancialStatement-2026-III-DEWA.pdf</x:v>
      </x:c>
      <x:c r="I153" s="2" t="str">
        <x:v>IDR thousand</x:v>
      </x:c>
      <x:c r="J153" s="2"/>
      <x:c r="K153" s="1"/>
      <x:c r="L153" s="1"/>
    </x:row>
    <x:row r="154" ht="21" customHeight="1">
      <x:c r="A154" s="1"/>
      <x:c r="B154" s="1"/>
      <x:c r="C154" s="1" t="str">
        <x:v>Q3YTD2026</x:v>
      </x:c>
      <x:c r="D154" s="2" t="str">
        <x:v>liabilities</x:v>
      </x:c>
      <x:c r="E154" s="10" t="n">
        <x:v>9866814582</x:v>
      </x:c>
      <x:c r="F154" s="9" t="n">
        <x:f>E154/1000000</x:f>
        <x:v>9866.814582</x:v>
      </x:c>
      <x:c r="G154" s="2" t="n">
        <x:v>16</x:v>
      </x:c>
      <x:c r="H154" s="2" t="str">
        <x:v>FinancialStatement-2026-III-DEWA.pdf</x:v>
      </x:c>
      <x:c r="I154" s="2" t="str">
        <x:v>IDR thousand</x:v>
      </x:c>
      <x:c r="J154" s="2"/>
      <x:c r="K154" s="1"/>
      <x:c r="L154" s="1"/>
    </x:row>
    <x:row r="155" ht="21" customHeight="1">
      <x:c r="A155" s="1"/>
      <x:c r="B155" s="1"/>
      <x:c r="C155" s="1" t="str">
        <x:v>Q3YTD2026</x:v>
      </x:c>
      <x:c r="D155" s="2" t="str">
        <x:v>equity</x:v>
      </x:c>
      <x:c r="E155" s="10" t="n">
        <x:v>8269998209</x:v>
      </x:c>
      <x:c r="F155" s="9" t="n">
        <x:f>E155/1000000</x:f>
        <x:v>8269.998209</x:v>
      </x:c>
      <x:c r="G155" s="2" t="n">
        <x:v>17</x:v>
      </x:c>
      <x:c r="H155" s="2" t="str">
        <x:v>FinancialStatement-2026-III-DEWA.pdf</x:v>
      </x:c>
      <x:c r="I155" s="2" t="str">
        <x:v>IDR thousand</x:v>
      </x:c>
      <x:c r="J155" s="2"/>
      <x:c r="K155" s="1"/>
      <x:c r="L155" s="1"/>
    </x:row>
    <x:row r="156" ht="21" customHeight="1">
      <x:c r="A156" s="1"/>
      <x:c r="B156" s="1"/>
      <x:c r="C156" s="1" t="str">
        <x:v>Q3YTD2026</x:v>
      </x:c>
      <x:c r="D156" s="2" t="str">
        <x:v>parent_equity</x:v>
      </x:c>
      <x:c r="E156" s="10" t="n">
        <x:v>8254756381</x:v>
      </x:c>
      <x:c r="F156" s="9" t="n">
        <x:f>E156/1000000</x:f>
        <x:v>8254.756381</x:v>
      </x:c>
      <x:c r="G156" s="2" t="n">
        <x:v>17</x:v>
      </x:c>
      <x:c r="H156" s="2" t="str">
        <x:v>FinancialStatement-2026-III-DEWA.pdf</x:v>
      </x:c>
      <x:c r="I156" s="2" t="str">
        <x:v>IDR thousand</x:v>
      </x:c>
      <x:c r="J156" s="2"/>
      <x:c r="K156" s="1"/>
      <x:c r="L156" s="1"/>
    </x:row>
    <x:row r="157" ht="21" customHeight="1">
      <x:c r="A157" s="1"/>
      <x:c r="B157" s="1"/>
      <x:c r="C157" s="1" t="str">
        <x:v>Q3YTD2026</x:v>
      </x:c>
      <x:c r="D157" s="2" t="str">
        <x:v>nci</x:v>
      </x:c>
      <x:c r="E157" s="10" t="n">
        <x:v>15241828</x:v>
      </x:c>
      <x:c r="F157" s="9" t="n">
        <x:f>E157/1000000</x:f>
        <x:v>15.241828</x:v>
      </x:c>
      <x:c r="G157" s="2" t="n">
        <x:v>17</x:v>
      </x:c>
      <x:c r="H157" s="2" t="str">
        <x:v>FinancialStatement-2026-III-DEWA.pdf</x:v>
      </x:c>
      <x:c r="I157" s="2" t="str">
        <x:v>IDR thousand</x:v>
      </x:c>
      <x:c r="J157" s="2"/>
      <x:c r="K157" s="1"/>
      <x:c r="L157" s="1"/>
    </x:row>
    <x:row r="158" ht="21" customHeight="1">
      <x:c r="A158" s="1"/>
      <x:c r="B158" s="1"/>
      <x:c r="C158" s="1" t="str">
        <x:v>Q3YTD2026</x:v>
      </x:c>
      <x:c r="D158" s="2" t="str">
        <x:v>treasury_cost</x:v>
      </x:c>
      <x:c r="E158" s="10" t="n">
        <x:v>951710314</x:v>
      </x:c>
      <x:c r="F158" s="9" t="n">
        <x:f>E158/1000000</x:f>
        <x:v>951.710314</x:v>
      </x:c>
      <x:c r="G158" s="2" t="n">
        <x:v>16</x:v>
      </x:c>
      <x:c r="H158" s="2" t="str">
        <x:v>FinancialStatement-2026-III-DEWA.pdf</x:v>
      </x:c>
      <x:c r="I158" s="2" t="str">
        <x:v>IDR thousand</x:v>
      </x:c>
      <x:c r="J158" s="2"/>
      <x:c r="K158" s="1"/>
      <x:c r="L158" s="1"/>
    </x:row>
    <x:row r="159" ht="21" customHeight="1">
      <x:c r="A159" s="1"/>
      <x:c r="B159" s="1"/>
      <x:c r="C159" s="1" t="str">
        <x:v>Q3YTD2026</x:v>
      </x:c>
      <x:c r="D159" s="2" t="str">
        <x:v>cash</x:v>
      </x:c>
      <x:c r="E159" s="10" t="n">
        <x:v>744927020</x:v>
      </x:c>
      <x:c r="F159" s="9" t="n">
        <x:f>E159/1000000</x:f>
        <x:v>744.92702</x:v>
      </x:c>
      <x:c r="G159" s="2" t="n">
        <x:v>4</x:v>
      </x:c>
      <x:c r="H159" s="2" t="str">
        <x:v>FinancialStatement-2026-III-DEWA.pdf</x:v>
      </x:c>
      <x:c r="I159" s="2" t="str">
        <x:v>IDR thousand</x:v>
      </x:c>
      <x:c r="J159" s="2"/>
      <x:c r="K159" s="1"/>
      <x:c r="L159" s="1"/>
    </x:row>
    <x:row r="160" ht="21" customHeight="1">
      <x:c r="A160" s="1"/>
      <x:c r="B160" s="1"/>
      <x:c r="C160" s="1" t="str">
        <x:v>Q3YTD2026</x:v>
      </x:c>
      <x:c r="D160" s="2" t="str">
        <x:v>receivables_related</x:v>
      </x:c>
      <x:c r="E160" s="10" t="n">
        <x:v>1818315452</x:v>
      </x:c>
      <x:c r="F160" s="9" t="n">
        <x:f>E160/1000000</x:f>
        <x:v>1818.315452</x:v>
      </x:c>
      <x:c r="G160" s="2" t="n">
        <x:v>4</x:v>
      </x:c>
      <x:c r="H160" s="2" t="str">
        <x:v>FinancialStatement-2026-III-DEWA.pdf</x:v>
      </x:c>
      <x:c r="I160" s="2" t="str">
        <x:v>IDR thousand</x:v>
      </x:c>
      <x:c r="J160" s="2"/>
      <x:c r="K160" s="1"/>
      <x:c r="L160" s="1"/>
    </x:row>
    <x:row r="161" ht="21" customHeight="1">
      <x:c r="A161" s="1"/>
      <x:c r="B161" s="1"/>
      <x:c r="C161" s="1" t="str">
        <x:v>Q3YTD2026</x:v>
      </x:c>
      <x:c r="D161" s="2" t="str">
        <x:v>receivables_third</x:v>
      </x:c>
      <x:c r="E161" s="10" t="n">
        <x:v>68471491</x:v>
      </x:c>
      <x:c r="F161" s="9" t="n">
        <x:f>E161/1000000</x:f>
        <x:v>68.471491</x:v>
      </x:c>
      <x:c r="G161" s="2" t="n">
        <x:v>4</x:v>
      </x:c>
      <x:c r="H161" s="2" t="str">
        <x:v>FinancialStatement-2026-III-DEWA.pdf</x:v>
      </x:c>
      <x:c r="I161" s="2" t="str">
        <x:v>IDR thousand</x:v>
      </x:c>
      <x:c r="J161" s="2"/>
      <x:c r="K161" s="1"/>
      <x:c r="L161" s="1"/>
    </x:row>
    <x:row r="162" ht="21" customHeight="1">
      <x:c r="A162" s="1"/>
      <x:c r="B162" s="1"/>
      <x:c r="C162" s="1" t="str">
        <x:v>Q3YTD2026</x:v>
      </x:c>
      <x:c r="D162" s="2" t="str">
        <x:v>liquid_investments</x:v>
      </x:c>
      <x:c r="E162" s="10" t="n">
        <x:v>23430580</x:v>
      </x:c>
      <x:c r="F162" s="9" t="n">
        <x:f>E162/1000000</x:f>
        <x:v>23.43058</x:v>
      </x:c>
      <x:c r="G162" s="2" t="n">
        <x:v>4</x:v>
      </x:c>
      <x:c r="H162" s="2" t="str">
        <x:v>FinancialStatement-2026-III-DEWA.pdf</x:v>
      </x:c>
      <x:c r="I162" s="2" t="str">
        <x:v>IDR thousand</x:v>
      </x:c>
      <x:c r="J162" s="2"/>
      <x:c r="K162" s="1"/>
      <x:c r="L162" s="1"/>
    </x:row>
    <x:row r="163" ht="21" customHeight="1">
      <x:c r="A163" s="1"/>
      <x:c r="B163" s="1"/>
      <x:c r="C163" s="1" t="str">
        <x:v>Q3YTD2026</x:v>
      </x:c>
      <x:c r="D163" s="2" t="str">
        <x:v>inventory</x:v>
      </x:c>
      <x:c r="E163" s="10" t="n">
        <x:v>330941879</x:v>
      </x:c>
      <x:c r="F163" s="9" t="n">
        <x:f>E163/1000000</x:f>
        <x:v>330.941879</x:v>
      </x:c>
      <x:c r="G163" s="2" t="n">
        <x:v>5</x:v>
      </x:c>
      <x:c r="H163" s="2" t="str">
        <x:v>FinancialStatement-2026-III-DEWA.pdf</x:v>
      </x:c>
      <x:c r="I163" s="2" t="str">
        <x:v>IDR thousand</x:v>
      </x:c>
      <x:c r="J163" s="2"/>
      <x:c r="K163" s="1"/>
      <x:c r="L163" s="1"/>
    </x:row>
    <x:row r="164" ht="21" customHeight="1">
      <x:c r="A164" s="1"/>
      <x:c r="B164" s="1"/>
      <x:c r="C164" s="1" t="str">
        <x:v>Q3YTD2026</x:v>
      </x:c>
      <x:c r="D164" s="2" t="str">
        <x:v>prepaid</x:v>
      </x:c>
      <x:c r="E164" s="10" t="n">
        <x:v>27032642</x:v>
      </x:c>
      <x:c r="F164" s="9" t="n">
        <x:f>E164/1000000</x:f>
        <x:v>27.032642</x:v>
      </x:c>
      <x:c r="G164" s="2" t="n">
        <x:v>5</x:v>
      </x:c>
      <x:c r="H164" s="2" t="str">
        <x:v>FinancialStatement-2026-III-DEWA.pdf</x:v>
      </x:c>
      <x:c r="I164" s="2" t="str">
        <x:v>IDR thousand</x:v>
      </x:c>
      <x:c r="J164" s="2"/>
      <x:c r="K164" s="1"/>
      <x:c r="L164" s="1"/>
    </x:row>
    <x:row r="165" ht="21" customHeight="1">
      <x:c r="A165" s="1"/>
      <x:c r="B165" s="1"/>
      <x:c r="C165" s="1" t="str">
        <x:v>Q3YTD2026</x:v>
      </x:c>
      <x:c r="D165" s="2" t="str">
        <x:v>other_current</x:v>
      </x:c>
      <x:c r="E165" s="10" t="n">
        <x:v>407607478</x:v>
      </x:c>
      <x:c r="F165" s="9" t="n">
        <x:f>E165/1000000</x:f>
        <x:v>407.607478</x:v>
      </x:c>
      <x:c r="G165" s="2" t="n">
        <x:v>5</x:v>
      </x:c>
      <x:c r="H165" s="2" t="str">
        <x:v>FinancialStatement-2026-III-DEWA.pdf</x:v>
      </x:c>
      <x:c r="I165" s="2" t="str">
        <x:v>IDR thousand</x:v>
      </x:c>
      <x:c r="J165" s="2"/>
      <x:c r="K165" s="1"/>
      <x:c r="L165" s="1"/>
    </x:row>
    <x:row r="166" ht="21" customHeight="1">
      <x:c r="A166" s="1"/>
      <x:c r="B166" s="1"/>
      <x:c r="C166" s="1" t="str">
        <x:v>Q3YTD2026</x:v>
      </x:c>
      <x:c r="D166" s="2" t="str">
        <x:v>investments</x:v>
      </x:c>
      <x:c r="E166" s="10" t="n">
        <x:v>1335712061</x:v>
      </x:c>
      <x:c r="F166" s="9" t="n">
        <x:f>E166/1000000</x:f>
        <x:v>1335.712061</x:v>
      </x:c>
      <x:c r="G166" s="2" t="n">
        <x:v>6</x:v>
      </x:c>
      <x:c r="H166" s="2" t="str">
        <x:v>FinancialStatement-2026-III-DEWA.pdf</x:v>
      </x:c>
      <x:c r="I166" s="2" t="str">
        <x:v>IDR thousand</x:v>
      </x:c>
      <x:c r="J166" s="2"/>
      <x:c r="K166" s="1"/>
      <x:c r="L166" s="1"/>
    </x:row>
    <x:row r="167" ht="21" customHeight="1">
      <x:c r="A167" s="1"/>
      <x:c r="B167" s="1"/>
      <x:c r="C167" s="1" t="str">
        <x:v>Q3YTD2026</x:v>
      </x:c>
      <x:c r="D167" s="2" t="str">
        <x:v>associate_asset</x:v>
      </x:c>
      <x:c r="E167" s="10" t="n">
        <x:v>51083932</x:v>
      </x:c>
      <x:c r="F167" s="9" t="n">
        <x:f>E167/1000000</x:f>
        <x:v>51.083932</x:v>
      </x:c>
      <x:c r="G167" s="2" t="n">
        <x:v>6</x:v>
      </x:c>
      <x:c r="H167" s="2" t="str">
        <x:v>FinancialStatement-2026-III-DEWA.pdf</x:v>
      </x:c>
      <x:c r="I167" s="2" t="str">
        <x:v>IDR thousand</x:v>
      </x:c>
      <x:c r="J167" s="2"/>
      <x:c r="K167" s="1"/>
      <x:c r="L167" s="1"/>
    </x:row>
    <x:row r="168" ht="21" customHeight="1">
      <x:c r="A168" s="1"/>
      <x:c r="B168" s="1"/>
      <x:c r="C168" s="1" t="str">
        <x:v>Q3YTD2026</x:v>
      </x:c>
      <x:c r="D168" s="2" t="str">
        <x:v>exploration</x:v>
      </x:c>
      <x:c r="E168" s="10" t="n">
        <x:v>7040564185</x:v>
      </x:c>
      <x:c r="F168" s="9" t="n">
        <x:f>E168/1000000</x:f>
        <x:v>7040.564185</x:v>
      </x:c>
      <x:c r="G168" s="2" t="n">
        <x:v>8</x:v>
      </x:c>
      <x:c r="H168" s="2" t="str">
        <x:v>FinancialStatement-2026-III-DEWA.pdf</x:v>
      </x:c>
      <x:c r="I168" s="2" t="str">
        <x:v>IDR thousand</x:v>
      </x:c>
      <x:c r="J168" s="2"/>
      <x:c r="K168" s="1"/>
      <x:c r="L168" s="1"/>
    </x:row>
    <x:row r="169" ht="21" customHeight="1">
      <x:c r="A169" s="1"/>
      <x:c r="B169" s="1"/>
      <x:c r="C169" s="1" t="str">
        <x:v>Q3YTD2026</x:v>
      </x:c>
      <x:c r="D169" s="2" t="str">
        <x:v>trade_payables</x:v>
      </x:c>
      <x:c r="E169" s="10" t="n">
        <x:v>1172371579</x:v>
      </x:c>
      <x:c r="F169" s="9" t="n">
        <x:f>E169/1000000</x:f>
        <x:v>1172.371579</x:v>
      </x:c>
      <x:c r="G169" s="2" t="n">
        <x:v>9</x:v>
      </x:c>
      <x:c r="H169" s="2" t="str">
        <x:v>FinancialStatement-2026-III-DEWA.pdf</x:v>
      </x:c>
      <x:c r="I169" s="2" t="str">
        <x:v>IDR thousand</x:v>
      </x:c>
      <x:c r="J169" s="2"/>
      <x:c r="K169" s="1"/>
      <x:c r="L169" s="1"/>
    </x:row>
    <x:row r="170" ht="21" customHeight="1">
      <x:c r="A170" s="1"/>
      <x:c r="B170" s="1"/>
      <x:c r="C170" s="1" t="str">
        <x:v>Q3YTD2026</x:v>
      </x:c>
      <x:c r="D170" s="2" t="str">
        <x:v>accruals</x:v>
      </x:c>
      <x:c r="E170" s="10" t="n">
        <x:v>412254503</x:v>
      </x:c>
      <x:c r="F170" s="9" t="n">
        <x:f>E170/1000000</x:f>
        <x:v>412.254503</x:v>
      </x:c>
      <x:c r="G170" s="2" t="n">
        <x:v>9</x:v>
      </x:c>
      <x:c r="H170" s="2" t="str">
        <x:v>FinancialStatement-2026-III-DEWA.pdf</x:v>
      </x:c>
      <x:c r="I170" s="2" t="str">
        <x:v>IDR thousand</x:v>
      </x:c>
      <x:c r="J170" s="2"/>
      <x:c r="K170" s="1"/>
      <x:c r="L170" s="1"/>
    </x:row>
    <x:row r="171" ht="21" customHeight="1">
      <x:c r="A171" s="1"/>
      <x:c r="B171" s="1"/>
      <x:c r="C171" s="1" t="str">
        <x:v>Q3YTD2026</x:v>
      </x:c>
      <x:c r="D171" s="2" t="str">
        <x:v>customer_advances</x:v>
      </x:c>
      <x:c r="E171" s="10" t="n">
        <x:v>3750000</x:v>
      </x:c>
      <x:c r="F171" s="9" t="n">
        <x:f>E171/1000000</x:f>
        <x:v>3.75</x:v>
      </x:c>
      <x:c r="G171" s="2" t="n">
        <x:v>9</x:v>
      </x:c>
      <x:c r="H171" s="2" t="str">
        <x:v>FinancialStatement-2026-III-DEWA.pdf</x:v>
      </x:c>
      <x:c r="I171" s="2" t="str">
        <x:v>IDR thousand</x:v>
      </x:c>
      <x:c r="J171" s="2"/>
      <x:c r="K171" s="1"/>
      <x:c r="L171" s="1"/>
    </x:row>
    <x:row r="172" ht="21" customHeight="1">
      <x:c r="A172" s="1"/>
      <x:c r="B172" s="1"/>
      <x:c r="C172" s="1" t="str">
        <x:v>Q3YTD2026</x:v>
      </x:c>
      <x:c r="D172" s="2" t="str">
        <x:v>unearned</x:v>
      </x:c>
      <x:c r="E172" s="10" t="n">
        <x:v>232065835</x:v>
      </x:c>
      <x:c r="F172" s="9" t="n">
        <x:f>E172/1000000</x:f>
        <x:v>232.065835</x:v>
      </x:c>
      <x:c r="G172" s="2" t="n">
        <x:v>9</x:v>
      </x:c>
      <x:c r="H172" s="2" t="str">
        <x:v>FinancialStatement-2026-III-DEWA.pdf</x:v>
      </x:c>
      <x:c r="I172" s="2" t="str">
        <x:v>IDR thousand</x:v>
      </x:c>
      <x:c r="J172" s="2"/>
      <x:c r="K172" s="1"/>
      <x:c r="L172" s="1"/>
    </x:row>
    <x:row r="173" ht="21" customHeight="1">
      <x:c r="A173" s="1"/>
      <x:c r="B173" s="1"/>
      <x:c r="C173" s="1" t="str">
        <x:v>Q3YTD2026</x:v>
      </x:c>
      <x:c r="D173" s="2" t="str">
        <x:v>bank_current</x:v>
      </x:c>
      <x:c r="E173" s="10" t="n">
        <x:v>2268892487</x:v>
      </x:c>
      <x:c r="F173" s="9" t="n">
        <x:f>E173/1000000</x:f>
        <x:v>2268.892487</x:v>
      </x:c>
      <x:c r="G173" s="2" t="n">
        <x:v>10</x:v>
      </x:c>
      <x:c r="H173" s="2" t="str">
        <x:v>FinancialStatement-2026-III-DEWA.pdf</x:v>
      </x:c>
      <x:c r="I173" s="2" t="str">
        <x:v>IDR thousand</x:v>
      </x:c>
      <x:c r="J173" s="2"/>
      <x:c r="K173" s="1"/>
      <x:c r="L173" s="1"/>
    </x:row>
    <x:row r="174" ht="21" customHeight="1">
      <x:c r="A174" s="1"/>
      <x:c r="B174" s="1"/>
      <x:c r="C174" s="1" t="str">
        <x:v>Q3YTD2026</x:v>
      </x:c>
      <x:c r="D174" s="2" t="str">
        <x:v>finance_lease_current</x:v>
      </x:c>
      <x:c r="E174" s="10" t="n">
        <x:v>2527903</x:v>
      </x:c>
      <x:c r="F174" s="9" t="n">
        <x:f>E174/1000000</x:f>
        <x:v>2.527903</x:v>
      </x:c>
      <x:c r="G174" s="2" t="n">
        <x:v>12</x:v>
      </x:c>
      <x:c r="H174" s="2" t="str">
        <x:v>FinancialStatement-2026-III-DEWA.pdf</x:v>
      </x:c>
      <x:c r="I174" s="2" t="str">
        <x:v>IDR thousand</x:v>
      </x:c>
      <x:c r="J174" s="2"/>
      <x:c r="K174" s="1"/>
      <x:c r="L174" s="1"/>
    </x:row>
    <x:row r="175" ht="21" customHeight="1">
      <x:c r="A175" s="1"/>
      <x:c r="B175" s="1"/>
      <x:c r="C175" s="1" t="str">
        <x:v>Q3YTD2026</x:v>
      </x:c>
      <x:c r="D175" s="2" t="str">
        <x:v>other_borrowings_current</x:v>
      </x:c>
      <x:c r="E175" s="10" t="n">
        <x:v>894537498</x:v>
      </x:c>
      <x:c r="F175" s="9" t="n">
        <x:f>E175/1000000</x:f>
        <x:v>894.537498</x:v>
      </x:c>
      <x:c r="G175" s="2" t="n">
        <x:v>12</x:v>
      </x:c>
      <x:c r="H175" s="2" t="str">
        <x:v>FinancialStatement-2026-III-DEWA.pdf</x:v>
      </x:c>
      <x:c r="I175" s="2" t="str">
        <x:v>IDR thousand</x:v>
      </x:c>
      <x:c r="J175" s="2"/>
      <x:c r="K175" s="1"/>
      <x:c r="L175" s="1"/>
    </x:row>
    <x:row r="176" ht="21" customHeight="1">
      <x:c r="A176" s="1"/>
      <x:c r="B176" s="1"/>
      <x:c r="C176" s="1" t="str">
        <x:v>Q3YTD2026</x:v>
      </x:c>
      <x:c r="D176" s="2" t="str">
        <x:v>bank_long</x:v>
      </x:c>
      <x:c r="E176" s="10" t="n">
        <x:v>2305994486</x:v>
      </x:c>
      <x:c r="F176" s="9" t="n">
        <x:f>E176/1000000</x:f>
        <x:v>2305.994486</x:v>
      </x:c>
      <x:c r="G176" s="2" t="n">
        <x:v>13</x:v>
      </x:c>
      <x:c r="H176" s="2" t="str">
        <x:v>FinancialStatement-2026-III-DEWA.pdf</x:v>
      </x:c>
      <x:c r="I176" s="2" t="str">
        <x:v>IDR thousand</x:v>
      </x:c>
      <x:c r="J176" s="2"/>
      <x:c r="K176" s="1"/>
      <x:c r="L176" s="1"/>
    </x:row>
    <x:row r="177" ht="21" customHeight="1">
      <x:c r="A177" s="1"/>
      <x:c r="B177" s="1"/>
      <x:c r="C177" s="1" t="str">
        <x:v>Q3YTD2026</x:v>
      </x:c>
      <x:c r="D177" s="2" t="str">
        <x:v>related_debt</x:v>
      </x:c>
      <x:c r="E177" s="10" t="n">
        <x:v>3270372</x:v>
      </x:c>
      <x:c r="F177" s="9" t="n">
        <x:f>E177/1000000</x:f>
        <x:v>3.270372</x:v>
      </x:c>
      <x:c r="G177" s="2" t="n">
        <x:v>13</x:v>
      </x:c>
      <x:c r="H177" s="2" t="str">
        <x:v>FinancialStatement-2026-III-DEWA.pdf</x:v>
      </x:c>
      <x:c r="I177" s="2" t="str">
        <x:v>IDR thousand</x:v>
      </x:c>
      <x:c r="J177" s="2"/>
      <x:c r="K177" s="1"/>
      <x:c r="L177" s="1"/>
    </x:row>
    <x:row r="178" ht="21" customHeight="1">
      <x:c r="A178" s="1"/>
      <x:c r="B178" s="1"/>
      <x:c r="C178" s="1" t="str">
        <x:v>Q3YTD2026</x:v>
      </x:c>
      <x:c r="D178" s="2" t="str">
        <x:v>finance_lease_long</x:v>
      </x:c>
      <x:c r="E178" s="10" t="n">
        <x:v>429566</x:v>
      </x:c>
      <x:c r="F178" s="9" t="n">
        <x:f>E178/1000000</x:f>
        <x:v>0.429566</x:v>
      </x:c>
      <x:c r="G178" s="2" t="n">
        <x:v>14</x:v>
      </x:c>
      <x:c r="H178" s="2" t="str">
        <x:v>FinancialStatement-2026-III-DEWA.pdf</x:v>
      </x:c>
      <x:c r="I178" s="2" t="str">
        <x:v>IDR thousand</x:v>
      </x:c>
      <x:c r="J178" s="2"/>
      <x:c r="K178" s="1"/>
      <x:c r="L178" s="1"/>
    </x:row>
    <x:row r="179" ht="21" customHeight="1">
      <x:c r="A179" s="1"/>
      <x:c r="B179" s="1"/>
      <x:c r="C179" s="1" t="str">
        <x:v>Q3YTD2026</x:v>
      </x:c>
      <x:c r="D179" s="2" t="str">
        <x:v>other_borrowings_long</x:v>
      </x:c>
      <x:c r="E179" s="10" t="n">
        <x:v>800979089</x:v>
      </x:c>
      <x:c r="F179" s="9" t="n">
        <x:f>E179/1000000</x:f>
        <x:v>800.979089</x:v>
      </x:c>
      <x:c r="G179" s="2" t="n">
        <x:v>14</x:v>
      </x:c>
      <x:c r="H179" s="2" t="str">
        <x:v>FinancialStatement-2026-III-DEWA.pdf</x:v>
      </x:c>
      <x:c r="I179" s="2" t="str">
        <x:v>IDR thousand</x:v>
      </x:c>
      <x:c r="J179" s="2"/>
      <x:c r="K179" s="1"/>
      <x:c r="L179" s="1"/>
    </x:row>
    <x:row r="180" ht="21" customHeight="1">
      <x:c r="A180" s="1"/>
      <x:c r="B180" s="1"/>
      <x:c r="C180" s="1" t="str">
        <x:v>Q3YTD2026</x:v>
      </x:c>
      <x:c r="D180" s="2" t="str">
        <x:v>da_ppe</x:v>
      </x:c>
      <x:c r="E180" s="10" t="n">
        <x:v>826160554</x:v>
      </x:c>
      <x:c r="F180" s="9" t="n">
        <x:f>E180/1000000</x:f>
        <x:v>826.160554</x:v>
      </x:c>
      <x:c r="G180" s="2" t="n">
        <x:v>45</x:v>
      </x:c>
      <x:c r="H180" s="2" t="str">
        <x:v>FinancialStatement-2026-III-DEWA.pdf</x:v>
      </x:c>
      <x:c r="I180" s="2" t="str">
        <x:v>IDR thousand</x:v>
      </x:c>
      <x:c r="J180" s="2"/>
      <x:c r="K180" s="1"/>
      <x:c r="L180" s="1"/>
    </x:row>
    <x:row r="181" ht="21" customHeight="1">
      <x:c r="A181" s="1"/>
      <x:c r="B181" s="1"/>
      <x:c r="C181" s="1" t="str">
        <x:v>Q3YTD2026</x:v>
      </x:c>
      <x:c r="D181" s="2" t="str">
        <x:v>da_rou</x:v>
      </x:c>
      <x:c r="E181" s="10" t="n">
        <x:v>19082226</x:v>
      </x:c>
      <x:c r="F181" s="9" t="n">
        <x:f>E181/1000000</x:f>
        <x:v>19.082226</x:v>
      </x:c>
      <x:c r="G181" s="2" t="n">
        <x:v>50</x:v>
      </x:c>
      <x:c r="H181" s="2" t="str">
        <x:v>FinancialStatement-2026-III-DEWA.pdf</x:v>
      </x:c>
      <x:c r="I181" s="2" t="str">
        <x:v>IDR thousand</x:v>
      </x:c>
      <x:c r="J181" s="2"/>
      <x:c r="K181" s="1"/>
      <x:c r="L181" s="1"/>
    </x:row>
    <x:row r="182" ht="21" customHeight="1">
      <x:c r="A182" s="1"/>
      <x:c r="B182" s="1"/>
      <x:c r="C182" s="1" t="str">
        <x:v>Q3YTD2026</x:v>
      </x:c>
      <x:c r="D182" s="2" t="str">
        <x:v>cfo</x:v>
      </x:c>
      <x:c r="E182" s="10" t="n">
        <x:v>1664807517</x:v>
      </x:c>
      <x:c r="F182" s="9" t="n">
        <x:f>E182/1000000</x:f>
        <x:v>1664.807517</x:v>
      </x:c>
      <x:c r="G182" s="2" t="n">
        <x:v>25</x:v>
      </x:c>
      <x:c r="H182" s="2" t="str">
        <x:v>FinancialStatement-2026-III-DEWA.pdf</x:v>
      </x:c>
      <x:c r="I182" s="2" t="str">
        <x:v>IDR thousand</x:v>
      </x:c>
      <x:c r="J182" s="2"/>
      <x:c r="K182" s="1"/>
      <x:c r="L182" s="1"/>
    </x:row>
    <x:row r="183" ht="21" customHeight="1">
      <x:c r="A183" s="1"/>
      <x:c r="B183" s="1"/>
      <x:c r="C183" s="1" t="str">
        <x:v>Q3YTD2026</x:v>
      </x:c>
      <x:c r="D183" s="2" t="str">
        <x:v>capex</x:v>
      </x:c>
      <x:c r="E183" s="10" t="n">
        <x:v>1341623003</x:v>
      </x:c>
      <x:c r="F183" s="9" t="n">
        <x:f>E183/1000000</x:f>
        <x:v>1341.623003</x:v>
      </x:c>
      <x:c r="G183" s="2" t="n">
        <x:v>26</x:v>
      </x:c>
      <x:c r="H183" s="2" t="str">
        <x:v>FinancialStatement-2026-III-DEWA.pdf</x:v>
      </x:c>
      <x:c r="I183" s="2" t="str">
        <x:v>IDR thousand</x:v>
      </x:c>
      <x:c r="J183" s="2"/>
      <x:c r="K183" s="1"/>
      <x:c r="L183" s="1"/>
    </x:row>
    <x:row r="184" ht="21" customHeight="1">
      <x:c r="A184" s="1"/>
      <x:c r="B184" s="1"/>
      <x:c r="C184" s="1" t="str">
        <x:v>Q3YTD2026</x:v>
      </x:c>
      <x:c r="D184" s="2" t="str">
        <x:v>cfi</x:v>
      </x:c>
      <x:c r="E184" s="10" t="n">
        <x:v>-2158160222</x:v>
      </x:c>
      <x:c r="F184" s="9" t="n">
        <x:f>E184/1000000</x:f>
        <x:v>-2158.160222</x:v>
      </x:c>
      <x:c r="G184" s="2" t="n">
        <x:v>29</x:v>
      </x:c>
      <x:c r="H184" s="2" t="str">
        <x:v>FinancialStatement-2026-III-DEWA.pdf</x:v>
      </x:c>
      <x:c r="I184" s="2" t="str">
        <x:v>IDR thousand</x:v>
      </x:c>
      <x:c r="J184" s="2"/>
      <x:c r="K184" s="1"/>
      <x:c r="L184" s="1"/>
    </x:row>
    <x:row r="185" ht="21" customHeight="1">
      <x:c r="A185" s="1"/>
      <x:c r="B185" s="1"/>
      <x:c r="C185" s="1" t="str">
        <x:v>Q3YTD2026</x:v>
      </x:c>
      <x:c r="D185" s="2" t="str">
        <x:v>cff</x:v>
      </x:c>
      <x:c r="E185" s="10" t="n">
        <x:v>-352350674</x:v>
      </x:c>
      <x:c r="F185" s="9" t="n">
        <x:f>E185/1000000</x:f>
        <x:v>-352.350674</x:v>
      </x:c>
      <x:c r="G185" s="2" t="n">
        <x:v>31</x:v>
      </x:c>
      <x:c r="H185" s="2" t="str">
        <x:v>FinancialStatement-2026-III-DEWA.pdf</x:v>
      </x:c>
      <x:c r="I185" s="2" t="str">
        <x:v>IDR thousand</x:v>
      </x:c>
      <x:c r="J185" s="2"/>
      <x:c r="K185" s="1"/>
      <x:c r="L185" s="1"/>
    </x:row>
    <x:row r="186" ht="21" customHeight="1">
      <x:c r="A186" s="1"/>
      <x:c r="B186" s="1"/>
      <x:c r="C186" s="1" t="str">
        <x:v>Q3YTD2025</x:v>
      </x:c>
      <x:c r="D186" s="2" t="str">
        <x:v>cfo</x:v>
      </x:c>
      <x:c r="E186" s="10" t="n">
        <x:v>1299097101</x:v>
      </x:c>
      <x:c r="F186" s="9" t="n">
        <x:f>E186/1000000</x:f>
        <x:v>1299.097101</x:v>
      </x:c>
      <x:c r="G186" s="2" t="n">
        <x:v>25</x:v>
      </x:c>
      <x:c r="H186" s="2" t="str">
        <x:v>FinancialStatement-2026-III-DEWA.pdf</x:v>
      </x:c>
      <x:c r="I186" s="2" t="str">
        <x:v>IDR thousand</x:v>
      </x:c>
      <x:c r="J186" s="2"/>
      <x:c r="K186" s="1"/>
      <x:c r="L186" s="1"/>
    </x:row>
    <x:row r="187" ht="21" customHeight="1">
      <x:c r="A187" s="1"/>
      <x:c r="B187" s="1"/>
      <x:c r="C187" s="1" t="str">
        <x:v>Q3YTD2025</x:v>
      </x:c>
      <x:c r="D187" s="2" t="str">
        <x:v>capex</x:v>
      </x:c>
      <x:c r="E187" s="10" t="n">
        <x:v>1338194376</x:v>
      </x:c>
      <x:c r="F187" s="9" t="n">
        <x:f>E187/1000000</x:f>
        <x:v>1338.194376</x:v>
      </x:c>
      <x:c r="G187" s="2" t="n">
        <x:v>26</x:v>
      </x:c>
      <x:c r="H187" s="2" t="str">
        <x:v>FinancialStatement-2026-III-DEWA.pdf</x:v>
      </x:c>
      <x:c r="I187" s="2" t="str">
        <x:v>IDR thousand</x:v>
      </x:c>
      <x:c r="J187" s="2"/>
      <x:c r="K187" s="1"/>
      <x:c r="L187" s="1"/>
    </x:row>
    <x:row r="188" ht="21" customHeight="1">
      <x:c r="A188" s="1"/>
      <x:c r="B188" s="1"/>
      <x:c r="C188" s="1" t="str">
        <x:v>FY2025</x:v>
      </x:c>
      <x:c r="D188" s="2" t="str">
        <x:v>exploration_dtl</x:v>
      </x:c>
      <x:c r="E188" s="10" t="n">
        <x:v>1305756890</x:v>
      </x:c>
      <x:c r="F188" s="9" t="n">
        <x:f>E188/1000000</x:f>
        <x:v>1305.75689</x:v>
      </x:c>
      <x:c r="G188" s="2" t="n">
        <x:v>81</x:v>
      </x:c>
      <x:c r="H188" s="2" t="str">
        <x:v>PT Darma Henwa Tbk dan Entitas Anak 31 Des 2025.pdf</x:v>
      </x:c>
      <x:c r="I188" s="2" t="str">
        <x:v>IDR thousand</x:v>
      </x:c>
      <x:c r="J188" s="2"/>
      <x:c r="K188" s="1"/>
      <x:c r="L188" s="1"/>
    </x:row>
    <x:row r="189" ht="21" customHeight="1">
      <x:c r="A189" s="1"/>
      <x:c r="B189" s="1"/>
      <x:c r="C189" s="1" t="str">
        <x:v>FY2024Original</x:v>
      </x:c>
      <x:c r="D189" s="2" t="str">
        <x:v>assets</x:v>
      </x:c>
      <x:c r="E189" s="10" t="n">
        <x:v>8806355222</x:v>
      </x:c>
      <x:c r="F189" s="9" t="n">
        <x:f>E189/1000000</x:f>
        <x:v>8806.355222</x:v>
      </x:c>
      <x:c r="G189" s="2" t="n">
        <x:v>73</x:v>
      </x:c>
      <x:c r="H189" s="2" t="str">
        <x:v>PT Darma Henwa Tbk dan Entitas Anak 31 Des 2025.pdf</x:v>
      </x:c>
      <x:c r="I189" s="2" t="str">
        <x:v>IDR thousand</x:v>
      </x:c>
      <x:c r="J189" s="2"/>
      <x:c r="K189" s="1"/>
      <x:c r="L189" s="1"/>
    </x:row>
    <x:row r="190" ht="21" customHeight="1">
      <x:c r="A190" s="1"/>
      <x:c r="B190" s="1"/>
      <x:c r="C190" s="1" t="str">
        <x:v>FY2024Original</x:v>
      </x:c>
      <x:c r="D190" s="2" t="str">
        <x:v>equity</x:v>
      </x:c>
      <x:c r="E190" s="10" t="n">
        <x:v>3310810040</x:v>
      </x:c>
      <x:c r="F190" s="9" t="n">
        <x:f>E190/1000000</x:f>
        <x:v>3310.81004</x:v>
      </x:c>
      <x:c r="G190" s="2" t="n">
        <x:v>75</x:v>
      </x:c>
      <x:c r="H190" s="2" t="str">
        <x:v>PT Darma Henwa Tbk dan Entitas Anak 31 Des 2025.pdf</x:v>
      </x:c>
      <x:c r="I190" s="2" t="str">
        <x:v>IDR thousand</x:v>
      </x:c>
      <x:c r="J190" s="2"/>
      <x:c r="K190" s="1"/>
      <x:c r="L190" s="1"/>
    </x:row>
    <x:row r="191" ht="21" customHeight="1">
      <x:c r="A191" s="1"/>
      <x:c r="B191" s="1"/>
      <x:c r="C191" s="1" t="str">
        <x:v>FY2024Original</x:v>
      </x:c>
      <x:c r="D191" s="2" t="str">
        <x:v>cogs</x:v>
      </x:c>
      <x:c r="E191" s="10" t="n">
        <x:v>5631380112</x:v>
      </x:c>
      <x:c r="F191" s="9" t="n">
        <x:f>E191/1000000</x:f>
        <x:v>5631.380112</x:v>
      </x:c>
      <x:c r="G191" s="2" t="n">
        <x:v>79</x:v>
      </x:c>
      <x:c r="H191" s="2" t="str">
        <x:v>PT Darma Henwa Tbk dan Entitas Anak 31 Des 2025.pdf</x:v>
      </x:c>
      <x:c r="I191" s="2" t="str">
        <x:v>IDR thousand</x:v>
      </x:c>
      <x:c r="J191" s="2"/>
      <x:c r="K191" s="1"/>
      <x:c r="L191" s="1"/>
    </x:row>
    <x:row r="192" ht="21" customHeight="1">
      <x:c r="A192" s="1"/>
      <x:c r="B192" s="1"/>
      <x:c r="C192" s="1" t="str">
        <x:v>FY2024Original</x:v>
      </x:c>
      <x:c r="D192" s="2" t="str">
        <x:v>net_income</x:v>
      </x:c>
      <x:c r="E192" s="10" t="n">
        <x:v>16355900</x:v>
      </x:c>
      <x:c r="F192" s="9" t="n">
        <x:f>E192/1000000</x:f>
        <x:v>16.3559</x:v>
      </x:c>
      <x:c r="G192" s="2" t="n">
        <x:v>79</x:v>
      </x:c>
      <x:c r="H192" s="2" t="str">
        <x:v>PT Darma Henwa Tbk dan Entitas Anak 31 Des 2025.pdf</x:v>
      </x:c>
      <x:c r="I192" s="2" t="str">
        <x:v>IDR thousand</x:v>
      </x:c>
      <x:c r="J192" s="2"/>
      <x:c r="K192" s="1"/>
      <x:c r="L192" s="1"/>
    </x:row>
    <x:row r="193" ht="21" customHeight="1">
      <x:c r="A193" s="1"/>
      <x:c r="B193" s="1"/>
      <x:c r="C193" s="1"/>
      <x:c r="D193" s="2"/>
      <x:c r="E193" s="10"/>
      <x:c r="F193" s="2"/>
      <x:c r="G193" s="2"/>
      <x:c r="H193" s="2"/>
      <x:c r="I193" s="2"/>
      <x:c r="J193" s="2"/>
      <x:c r="K193" s="1"/>
      <x:c r="L193" s="1"/>
    </x:row>
    <x:row r="194" ht="21" customHeight="1">
      <x:c r="A194" s="1"/>
      <x:c r="B194" s="1"/>
      <x:c r="C194" s="1"/>
      <x:c r="D194" s="2"/>
      <x:c r="E194" s="10"/>
      <x:c r="F194" s="2"/>
      <x:c r="G194" s="2"/>
      <x:c r="H194" s="2"/>
      <x:c r="I194" s="2"/>
      <x:c r="J194" s="2"/>
      <x:c r="K194" s="1"/>
      <x:c r="L194" s="1"/>
    </x:row>
    <x:row r="195" ht="21" customHeight="1">
      <x:c r="A195" s="1"/>
      <x:c r="B195" s="1"/>
      <x:c r="C195" s="1"/>
      <x:c r="D195" s="2"/>
      <x:c r="E195" s="10"/>
      <x:c r="F195" s="2"/>
      <x:c r="G195" s="2"/>
      <x:c r="H195" s="2"/>
      <x:c r="I195" s="2"/>
      <x:c r="J195" s="2"/>
      <x:c r="K195" s="1"/>
      <x:c r="L195" s="1"/>
    </x:row>
    <x:row r="196" ht="21" customHeight="1">
      <x:c r="A196" s="1"/>
      <x:c r="B196" s="1"/>
      <x:c r="C196" s="1"/>
      <x:c r="D196" s="2"/>
      <x:c r="E196" s="10"/>
      <x:c r="F196" s="2"/>
      <x:c r="G196" s="2"/>
      <x:c r="H196" s="2"/>
      <x:c r="I196" s="2"/>
      <x:c r="J196" s="2"/>
      <x:c r="K196" s="1"/>
      <x:c r="L196" s="1"/>
    </x:row>
    <x:row r="197" ht="21" customHeight="1">
      <x:c r="A197" s="1"/>
      <x:c r="B197" s="1"/>
      <x:c r="C197" s="1"/>
      <x:c r="D197" s="2"/>
      <x:c r="E197" s="10"/>
      <x:c r="F197" s="2"/>
      <x:c r="G197" s="2"/>
      <x:c r="H197" s="2"/>
      <x:c r="I197" s="2"/>
      <x:c r="J197" s="2"/>
      <x:c r="K197" s="1"/>
      <x:c r="L197" s="1"/>
    </x:row>
    <x:row r="198" ht="21" customHeight="1">
      <x:c r="A198" s="1"/>
      <x:c r="B198" s="1"/>
      <x:c r="C198" s="1"/>
      <x:c r="D198" s="2"/>
      <x:c r="E198" s="10"/>
      <x:c r="F198" s="2"/>
      <x:c r="G198" s="2"/>
      <x:c r="H198" s="2"/>
      <x:c r="I198" s="2"/>
      <x:c r="J198" s="2"/>
      <x:c r="K198" s="1"/>
      <x:c r="L198" s="1"/>
    </x:row>
    <x:row r="199" ht="21" customHeight="1">
      <x:c r="A199" s="1"/>
      <x:c r="B199" s="1"/>
      <x:c r="C199" s="1"/>
      <x:c r="D199" s="2"/>
      <x:c r="E199" s="10"/>
      <x:c r="F199" s="2"/>
      <x:c r="G199" s="2"/>
      <x:c r="H199" s="2"/>
      <x:c r="I199" s="2"/>
      <x:c r="J199" s="2"/>
      <x:c r="K199" s="1"/>
      <x:c r="L199" s="1"/>
    </x:row>
    <x:row r="200" ht="21" customHeight="1">
      <x:c r="A200" s="1"/>
      <x:c r="B200" s="1"/>
      <x:c r="C200" s="1"/>
      <x:c r="D200" s="2"/>
      <x:c r="E200" s="10"/>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s>
  <x:pageMargins left="0.7" right="0.7" top="0.75" bottom="0.75" header="0.3" footer="0.3"/>
</x:worksheet>
</file>

<file path=xl/worksheets/sheet7.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1" customHeight="1">
      <x:c r="A1" s="1"/>
      <x:c r="B1" s="1"/>
      <x:c r="C1" s="4" t="str">
        <x:v>VISTA / Audit</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t="str">
        <x:v>Selected scenario</x:v>
      </x:c>
      <x:c r="D3" s="6" t="str">
        <x:f>Controls!D4</x:f>
        <x:v>Base</x:v>
      </x:c>
      <x:c r="E3" s="1"/>
      <x:c r="F3" s="1"/>
      <x:c r="G3" s="1"/>
      <x:c r="H3" s="1"/>
      <x:c r="I3" s="1"/>
      <x:c r="J3" s="1"/>
      <x:c r="K3" s="1"/>
      <x:c r="L3" s="1"/>
    </x:row>
    <x:row r="4" ht="21" customHeight="1">
      <x:c r="A4" s="1"/>
      <x:c r="B4" s="1"/>
      <x:c r="C4" s="1"/>
      <x:c r="D4" s="2"/>
      <x:c r="E4" s="2"/>
      <x:c r="F4" s="2"/>
      <x:c r="G4" s="2"/>
      <x:c r="H4" s="2"/>
      <x:c r="I4" s="2"/>
      <x:c r="J4" s="2"/>
      <x:c r="K4" s="1"/>
      <x:c r="L4" s="1"/>
    </x:row>
    <x:row r="5" ht="30" customHeight="1">
      <x:c r="A5" s="1"/>
      <x:c r="B5" s="1"/>
      <x:c r="C5" s="33" t="str">
        <x:v>Check / IDR bn difference</x:v>
      </x:c>
      <x:c r="D5" s="34" t="str">
        <x:v>Difference</x:v>
      </x:c>
      <x:c r="E5" s="34" t="str">
        <x:v>Status</x:v>
      </x:c>
      <x:c r="F5" s="34"/>
      <x:c r="G5" s="34"/>
      <x:c r="H5" s="34"/>
      <x:c r="I5" s="34"/>
      <x:c r="J5" s="34"/>
      <x:c r="K5" s="1"/>
      <x:c r="L5" s="1"/>
    </x:row>
    <x:row r="6" ht="21" customHeight="1">
      <x:c r="A6" s="1"/>
      <x:c r="B6" s="1"/>
      <x:c r="C6" s="1" t="str">
        <x:v>FY2024R balance sheet</x:v>
      </x:c>
      <x:c r="D6" s="27" t="n">
        <x:f>History!D29-History!D30-History!D31</x:f>
        <x:v>4.547473508864641e-13</x:v>
      </x:c>
      <x:c r="E6" s="9" t="str">
        <x:f>IF(ABS(D6)&lt;0.000001,"PASS","FAIL")</x:f>
        <x:v>PASS</x:v>
      </x:c>
      <x:c r="F6" s="2"/>
      <x:c r="G6" s="2"/>
      <x:c r="H6" s="2"/>
      <x:c r="I6" s="2"/>
      <x:c r="J6" s="2"/>
      <x:c r="K6" s="1"/>
      <x:c r="L6" s="1"/>
    </x:row>
    <x:row r="7" ht="21" customHeight="1">
      <x:c r="A7" s="1"/>
      <x:c r="B7" s="1"/>
      <x:c r="C7" s="1" t="str">
        <x:v>FY2024R gross profit</x:v>
      </x:c>
      <x:c r="D7" s="27" t="n">
        <x:f>History!D6-History!D7-History!D8</x:f>
        <x:v>5.684341886080801e-13</x:v>
      </x:c>
      <x:c r="E7" s="9" t="str">
        <x:f>IF(ABS(D7)&lt;0.000001,"PASS","FAIL")</x:f>
        <x:v>PASS</x:v>
      </x:c>
      <x:c r="F7" s="2"/>
      <x:c r="G7" s="2"/>
      <x:c r="H7" s="2"/>
      <x:c r="I7" s="2"/>
      <x:c r="J7" s="2"/>
      <x:c r="K7" s="1"/>
      <x:c r="L7" s="1"/>
    </x:row>
    <x:row r="8" ht="21" customHeight="1">
      <x:c r="A8" s="1"/>
      <x:c r="B8" s="1"/>
      <x:c r="C8" s="1" t="str">
        <x:v>FY2024R PBT bridge</x:v>
      </x:c>
      <x:c r="D8" s="27" t="n">
        <x:f>History!D23+History!D11-History!D12+History!D13+History!D14+History!D15-History!D16</x:f>
        <x:v>5.826450433232822e-13</x:v>
      </x:c>
      <x:c r="E8" s="9" t="str">
        <x:f>IF(ABS(D8)&lt;0.000001,"PASS","FAIL")</x:f>
        <x:v>PASS</x:v>
      </x:c>
      <x:c r="F8" s="2"/>
      <x:c r="G8" s="2"/>
      <x:c r="H8" s="2"/>
      <x:c r="I8" s="2"/>
      <x:c r="J8" s="2"/>
      <x:c r="K8" s="1"/>
      <x:c r="L8" s="1"/>
    </x:row>
    <x:row r="9" ht="21" customHeight="1">
      <x:c r="A9" s="1"/>
      <x:c r="B9" s="1"/>
      <x:c r="C9" s="1" t="str">
        <x:v>FY2024R tax bridge</x:v>
      </x:c>
      <x:c r="D9" s="27" t="n">
        <x:f>History!D16-History!D17-History!D18</x:f>
        <x:v>-7.105427357601002e-15</x:v>
      </x:c>
      <x:c r="E9" s="9" t="str">
        <x:f>IF(ABS(D9)&lt;0.000001,"PASS","FAIL")</x:f>
        <x:v>PASS</x:v>
      </x:c>
      <x:c r="F9" s="2"/>
      <x:c r="G9" s="2"/>
      <x:c r="H9" s="2"/>
      <x:c r="I9" s="2"/>
      <x:c r="J9" s="2"/>
      <x:c r="K9" s="1"/>
      <x:c r="L9" s="1"/>
    </x:row>
    <x:row r="10" ht="21" customHeight="1">
      <x:c r="A10" s="1"/>
      <x:c r="B10" s="1"/>
      <x:c r="C10" s="1" t="str">
        <x:v>FY2025 balance sheet</x:v>
      </x:c>
      <x:c r="D10" s="27" t="n">
        <x:f>History!E29-History!E30-History!E31</x:f>
        <x:v>0</x:v>
      </x:c>
      <x:c r="E10" s="9" t="str">
        <x:f>IF(ABS(D10)&lt;0.000001,"PASS","FAIL")</x:f>
        <x:v>PASS</x:v>
      </x:c>
      <x:c r="F10" s="2"/>
      <x:c r="G10" s="2"/>
      <x:c r="H10" s="2"/>
      <x:c r="I10" s="2"/>
      <x:c r="J10" s="2"/>
      <x:c r="K10" s="1"/>
      <x:c r="L10" s="1"/>
    </x:row>
    <x:row r="11" ht="21" customHeight="1">
      <x:c r="A11" s="1"/>
      <x:c r="B11" s="1"/>
      <x:c r="C11" s="1" t="str">
        <x:v>FY2025 gross profit</x:v>
      </x:c>
      <x:c r="D11" s="27" t="n">
        <x:f>History!E6-History!E7-History!E8</x:f>
        <x:v>6.821210263296962e-13</x:v>
      </x:c>
      <x:c r="E11" s="9" t="str">
        <x:f>IF(ABS(D11)&lt;0.000001,"PASS","FAIL")</x:f>
        <x:v>PASS</x:v>
      </x:c>
      <x:c r="F11" s="2"/>
      <x:c r="G11" s="2"/>
      <x:c r="H11" s="2"/>
      <x:c r="I11" s="2"/>
      <x:c r="J11" s="2"/>
      <x:c r="K11" s="1"/>
      <x:c r="L11" s="1"/>
    </x:row>
    <x:row r="12" ht="21" customHeight="1">
      <x:c r="A12" s="1"/>
      <x:c r="B12" s="1"/>
      <x:c r="C12" s="1" t="str">
        <x:v>FY2025 PBT bridge</x:v>
      </x:c>
      <x:c r="D12" s="27" t="n">
        <x:f>History!E23+History!E11-History!E12+History!E13+History!E14+History!E15-History!E16</x:f>
        <x:v>9.094947017729282e-13</x:v>
      </x:c>
      <x:c r="E12" s="9" t="str">
        <x:f>IF(ABS(D12)&lt;0.000001,"PASS","FAIL")</x:f>
        <x:v>PASS</x:v>
      </x:c>
      <x:c r="F12" s="2"/>
      <x:c r="G12" s="2"/>
      <x:c r="H12" s="2"/>
      <x:c r="I12" s="2"/>
      <x:c r="J12" s="2"/>
      <x:c r="K12" s="1"/>
      <x:c r="L12" s="1"/>
    </x:row>
    <x:row r="13" ht="21" customHeight="1">
      <x:c r="A13" s="1"/>
      <x:c r="B13" s="1"/>
      <x:c r="C13" s="1" t="str">
        <x:v>FY2025 tax bridge</x:v>
      </x:c>
      <x:c r="D13" s="27" t="n">
        <x:f>History!E16-History!E17-History!E18</x:f>
        <x:v>0</x:v>
      </x:c>
      <x:c r="E13" s="9" t="str">
        <x:f>IF(ABS(D13)&lt;0.000001,"PASS","FAIL")</x:f>
        <x:v>PASS</x:v>
      </x:c>
      <x:c r="F13" s="2"/>
      <x:c r="G13" s="2"/>
      <x:c r="H13" s="2"/>
      <x:c r="I13" s="2"/>
      <x:c r="J13" s="2"/>
      <x:c r="K13" s="1"/>
      <x:c r="L13" s="1"/>
    </x:row>
    <x:row r="14" ht="21" customHeight="1">
      <x:c r="A14" s="1"/>
      <x:c r="B14" s="1"/>
      <x:c r="C14" s="1" t="str">
        <x:v>Q1YTD2026 balance sheet</x:v>
      </x:c>
      <x:c r="D14" s="27" t="n">
        <x:f>History!F29-History!F30-History!F31</x:f>
        <x:v>0</x:v>
      </x:c>
      <x:c r="E14" s="9" t="str">
        <x:f>IF(ABS(D14)&lt;0.000001,"PASS","FAIL")</x:f>
        <x:v>PASS</x:v>
      </x:c>
      <x:c r="F14" s="2"/>
      <x:c r="G14" s="2"/>
      <x:c r="H14" s="2"/>
      <x:c r="I14" s="2"/>
      <x:c r="J14" s="2"/>
      <x:c r="K14" s="1"/>
      <x:c r="L14" s="1"/>
    </x:row>
    <x:row r="15" ht="21" customHeight="1">
      <x:c r="A15" s="1"/>
      <x:c r="B15" s="1"/>
      <x:c r="C15" s="1" t="str">
        <x:v>Q1YTD2026 gross profit</x:v>
      </x:c>
      <x:c r="D15" s="27" t="n">
        <x:f>History!F6-History!F7-History!F8</x:f>
        <x:v>0</x:v>
      </x:c>
      <x:c r="E15" s="9" t="str">
        <x:f>IF(ABS(D15)&lt;0.000001,"PASS","FAIL")</x:f>
        <x:v>PASS</x:v>
      </x:c>
      <x:c r="F15" s="2"/>
      <x:c r="G15" s="2"/>
      <x:c r="H15" s="2"/>
      <x:c r="I15" s="2"/>
      <x:c r="J15" s="2"/>
      <x:c r="K15" s="1"/>
      <x:c r="L15" s="1"/>
    </x:row>
    <x:row r="16" ht="21" customHeight="1">
      <x:c r="A16" s="1"/>
      <x:c r="B16" s="1"/>
      <x:c r="C16" s="1" t="str">
        <x:v>Q1YTD2026 PBT bridge</x:v>
      </x:c>
      <x:c r="D16" s="27" t="n">
        <x:f>History!F23+History!F11-History!F12+History!F13+History!F14+History!F15-History!F16</x:f>
        <x:v>1.4210854715202004e-14</x:v>
      </x:c>
      <x:c r="E16" s="9" t="str">
        <x:f>IF(ABS(D16)&lt;0.000001,"PASS","FAIL")</x:f>
        <x:v>PASS</x:v>
      </x:c>
      <x:c r="F16" s="2"/>
      <x:c r="G16" s="2"/>
      <x:c r="H16" s="2"/>
      <x:c r="I16" s="2"/>
      <x:c r="J16" s="2"/>
      <x:c r="K16" s="1"/>
      <x:c r="L16" s="1"/>
    </x:row>
    <x:row r="17" ht="21" customHeight="1">
      <x:c r="A17" s="1"/>
      <x:c r="B17" s="1"/>
      <x:c r="C17" s="1" t="str">
        <x:v>Q1YTD2026 tax bridge</x:v>
      </x:c>
      <x:c r="D17" s="27" t="n">
        <x:f>History!F16-History!F17-History!F18</x:f>
        <x:v>0</x:v>
      </x:c>
      <x:c r="E17" s="9" t="str">
        <x:f>IF(ABS(D17)&lt;0.000001,"PASS","FAIL")</x:f>
        <x:v>PASS</x:v>
      </x:c>
      <x:c r="F17" s="2"/>
      <x:c r="G17" s="2"/>
      <x:c r="H17" s="2"/>
      <x:c r="I17" s="2"/>
      <x:c r="J17" s="2"/>
      <x:c r="K17" s="1"/>
      <x:c r="L17" s="1"/>
    </x:row>
    <x:row r="18" ht="21" customHeight="1">
      <x:c r="A18" s="1"/>
      <x:c r="B18" s="1"/>
      <x:c r="C18" s="1" t="str">
        <x:v>Q2YTD2026 balance sheet</x:v>
      </x:c>
      <x:c r="D18" s="27" t="n">
        <x:f>History!G29-History!G30-History!G31</x:f>
        <x:v>9.094947017729282e-13</x:v>
      </x:c>
      <x:c r="E18" s="9" t="str">
        <x:f>IF(ABS(D18)&lt;0.000001,"PASS","FAIL")</x:f>
        <x:v>PASS</x:v>
      </x:c>
      <x:c r="F18" s="2"/>
      <x:c r="G18" s="2"/>
      <x:c r="H18" s="2"/>
      <x:c r="I18" s="2"/>
      <x:c r="J18" s="2"/>
      <x:c r="K18" s="1"/>
      <x:c r="L18" s="1"/>
    </x:row>
    <x:row r="19" ht="21" customHeight="1">
      <x:c r="A19" s="1"/>
      <x:c r="B19" s="1"/>
      <x:c r="C19" s="1" t="str">
        <x:v>Q2YTD2026 gross profit</x:v>
      </x:c>
      <x:c r="D19" s="27" t="n">
        <x:f>History!G6-History!G7-History!G8</x:f>
        <x:v>0</x:v>
      </x:c>
      <x:c r="E19" s="9" t="str">
        <x:f>IF(ABS(D19)&lt;0.000001,"PASS","FAIL")</x:f>
        <x:v>PASS</x:v>
      </x:c>
      <x:c r="F19" s="2"/>
      <x:c r="G19" s="2"/>
      <x:c r="H19" s="2"/>
      <x:c r="I19" s="2"/>
      <x:c r="J19" s="2"/>
      <x:c r="K19" s="1"/>
      <x:c r="L19" s="1"/>
    </x:row>
    <x:row r="20" ht="21" customHeight="1">
      <x:c r="A20" s="1"/>
      <x:c r="B20" s="1"/>
      <x:c r="C20" s="1" t="str">
        <x:v>Q2YTD2026 PBT bridge</x:v>
      </x:c>
      <x:c r="D20" s="27" t="n">
        <x:f>History!G23+History!G11-History!G12+History!G13+History!G14+History!G15-History!G16</x:f>
        <x:v>5.684341886080802e-14</x:v>
      </x:c>
      <x:c r="E20" s="9" t="str">
        <x:f>IF(ABS(D20)&lt;0.000001,"PASS","FAIL")</x:f>
        <x:v>PASS</x:v>
      </x:c>
      <x:c r="F20" s="2"/>
      <x:c r="G20" s="2"/>
      <x:c r="H20" s="2"/>
      <x:c r="I20" s="2"/>
      <x:c r="J20" s="2"/>
      <x:c r="K20" s="1"/>
      <x:c r="L20" s="1"/>
    </x:row>
    <x:row r="21" ht="21" customHeight="1">
      <x:c r="A21" s="1"/>
      <x:c r="B21" s="1"/>
      <x:c r="C21" s="1" t="str">
        <x:v>Q2YTD2026 tax bridge</x:v>
      </x:c>
      <x:c r="D21" s="27" t="n">
        <x:f>History!G16-History!G17-History!G18</x:f>
        <x:v>0</x:v>
      </x:c>
      <x:c r="E21" s="9" t="str">
        <x:f>IF(ABS(D21)&lt;0.000001,"PASS","FAIL")</x:f>
        <x:v>PASS</x:v>
      </x:c>
      <x:c r="F21" s="2"/>
      <x:c r="G21" s="2"/>
      <x:c r="H21" s="2"/>
      <x:c r="I21" s="2"/>
      <x:c r="J21" s="2"/>
      <x:c r="K21" s="1"/>
      <x:c r="L21" s="1"/>
    </x:row>
    <x:row r="22" ht="21" customHeight="1">
      <x:c r="A22" s="1"/>
      <x:c r="B22" s="1"/>
      <x:c r="C22" s="1" t="str">
        <x:v>Q3YTD2026 balance sheet</x:v>
      </x:c>
      <x:c r="D22" s="27" t="n">
        <x:f>History!H29-History!H30-History!H31</x:f>
        <x:v>0</x:v>
      </x:c>
      <x:c r="E22" s="9" t="str">
        <x:f>IF(ABS(D22)&lt;0.000001,"PASS","FAIL")</x:f>
        <x:v>PASS</x:v>
      </x:c>
      <x:c r="F22" s="2"/>
      <x:c r="G22" s="2"/>
      <x:c r="H22" s="2"/>
      <x:c r="I22" s="2"/>
      <x:c r="J22" s="2"/>
      <x:c r="K22" s="1"/>
      <x:c r="L22" s="1"/>
    </x:row>
    <x:row r="23" ht="21" customHeight="1">
      <x:c r="A23" s="1"/>
      <x:c r="B23" s="1"/>
      <x:c r="C23" s="1" t="str">
        <x:v>Q3YTD2026 gross profit</x:v>
      </x:c>
      <x:c r="D23" s="27" t="n">
        <x:f>History!H6-History!H7-History!H8</x:f>
        <x:v>-2.2737367544323206e-13</x:v>
      </x:c>
      <x:c r="E23" s="9" t="str">
        <x:f>IF(ABS(D23)&lt;0.000001,"PASS","FAIL")</x:f>
        <x:v>PASS</x:v>
      </x:c>
      <x:c r="F23" s="2"/>
      <x:c r="G23" s="2"/>
      <x:c r="H23" s="2"/>
      <x:c r="I23" s="2"/>
      <x:c r="J23" s="2"/>
      <x:c r="K23" s="1"/>
      <x:c r="L23" s="1"/>
    </x:row>
    <x:row r="24" ht="21" customHeight="1">
      <x:c r="A24" s="1"/>
      <x:c r="B24" s="1"/>
      <x:c r="C24" s="1" t="str">
        <x:v>Q3YTD2026 PBT bridge</x:v>
      </x:c>
      <x:c r="D24" s="27" t="n">
        <x:f>History!H23+History!H11-History!H12+History!H13+History!H14+History!H15-History!H16</x:f>
        <x:v>-2.2737367544323206e-13</x:v>
      </x:c>
      <x:c r="E24" s="9" t="str">
        <x:f>IF(ABS(D24)&lt;0.000001,"PASS","FAIL")</x:f>
        <x:v>PASS</x:v>
      </x:c>
      <x:c r="F24" s="2"/>
      <x:c r="G24" s="2"/>
      <x:c r="H24" s="2"/>
      <x:c r="I24" s="2"/>
      <x:c r="J24" s="2"/>
      <x:c r="K24" s="1"/>
      <x:c r="L24" s="1"/>
    </x:row>
    <x:row r="25" ht="21" customHeight="1">
      <x:c r="A25" s="1"/>
      <x:c r="B25" s="1"/>
      <x:c r="C25" s="1" t="str">
        <x:v>Q3YTD2026 tax bridge</x:v>
      </x:c>
      <x:c r="D25" s="27" t="n">
        <x:f>History!H16-History!H17-History!H18</x:f>
        <x:v>0</x:v>
      </x:c>
      <x:c r="E25" s="9" t="str">
        <x:f>IF(ABS(D25)&lt;0.000001,"PASS","FAIL")</x:f>
        <x:v>PASS</x:v>
      </x:c>
      <x:c r="F25" s="2"/>
      <x:c r="G25" s="2"/>
      <x:c r="H25" s="2"/>
      <x:c r="I25" s="2"/>
      <x:c r="J25" s="2"/>
      <x:c r="K25" s="1"/>
      <x:c r="L25" s="1"/>
    </x:row>
    <x:row r="26" ht="21" customHeight="1">
      <x:c r="A26" s="1"/>
      <x:c r="B26" s="1"/>
      <x:c r="C26" s="1" t="str">
        <x:v>Acquisition gain bridge</x:v>
      </x:c>
      <x:c r="D26" s="27" t="n">
        <x:f>History!D51-History!E15</x:f>
        <x:v>1.3642420526593924e-12</x:v>
      </x:c>
      <x:c r="E26" s="9" t="str">
        <x:f>IF(ABS(D26)&lt;0.000001,"PASS","FAIL")</x:f>
        <x:v>PASS</x:v>
      </x:c>
      <x:c r="F26" s="2"/>
      <x:c r="G26" s="2"/>
      <x:c r="H26" s="2"/>
      <x:c r="I26" s="2"/>
      <x:c r="J26" s="2"/>
      <x:c r="K26" s="1"/>
      <x:c r="L26" s="1"/>
    </x:row>
    <x:row r="27" ht="21" customHeight="1">
      <x:c r="A27" s="1"/>
      <x:c r="B27" s="1"/>
      <x:c r="C27" s="1" t="str">
        <x:v>Weights sum to 100%</x:v>
      </x:c>
      <x:c r="D27" s="27" t="n">
        <x:f>Summary!D19+Summary!D20-1</x:f>
        <x:v>0</x:v>
      </x:c>
      <x:c r="E27" s="9" t="str">
        <x:f>IF(ABS(D27)&lt;0.000001,"PASS","FAIL")</x:f>
        <x:v>PASS</x:v>
      </x:c>
      <x:c r="F27" s="2"/>
      <x:c r="G27" s="2"/>
      <x:c r="H27" s="2"/>
      <x:c r="I27" s="2"/>
      <x:c r="J27" s="2"/>
      <x:c r="K27" s="1"/>
      <x:c r="L27" s="1"/>
    </x:row>
    <x:row r="28" ht="21" customHeight="1">
      <x:c r="A28" s="1"/>
      <x:c r="B28" s="1"/>
      <x:c r="C28" s="1" t="str">
        <x:v>WACC &gt; terminal growth</x:v>
      </x:c>
      <x:c r="D28" s="27" t="n">
        <x:f>IF(DCF!D4&gt;DCF!G4,0,1)</x:f>
        <x:v>0</x:v>
      </x:c>
      <x:c r="E28" s="9" t="str">
        <x:f>IF(ABS(D28)&lt;0.000001,"PASS","FAIL")</x:f>
        <x:v>PASS</x:v>
      </x:c>
      <x:c r="F28" s="2"/>
      <x:c r="G28" s="2"/>
      <x:c r="H28" s="2"/>
      <x:c r="I28" s="2"/>
      <x:c r="J28" s="2"/>
      <x:c r="K28" s="1"/>
      <x:c r="L28" s="1"/>
    </x:row>
    <x:row r="29" ht="21" customHeight="1">
      <x:c r="A29" s="1"/>
      <x:c r="B29" s="1"/>
      <x:c r="C29" s="1" t="str">
        <x:v>Terminal ROIC &gt; growth</x:v>
      </x:c>
      <x:c r="D29" s="27" t="n">
        <x:f>IF(DCF!D5&gt;DCF!G4,0,1)</x:f>
        <x:v>0</x:v>
      </x:c>
      <x:c r="E29" s="9" t="str">
        <x:f>IF(ABS(D29)&lt;0.000001,"PASS","FAIL")</x:f>
        <x:v>PASS</x:v>
      </x:c>
      <x:c r="F29" s="2"/>
      <x:c r="G29" s="2"/>
      <x:c r="H29" s="2"/>
      <x:c r="I29" s="2"/>
      <x:c r="J29" s="2"/>
      <x:c r="K29" s="1"/>
      <x:c r="L29" s="1"/>
    </x:row>
    <x:row r="30" ht="21" customHeight="1">
      <x:c r="A30" s="1"/>
      <x:c r="B30" s="1"/>
      <x:c r="C30" s="1"/>
      <x:c r="D30" s="28"/>
      <x:c r="E30" s="2"/>
      <x:c r="F30" s="2"/>
      <x:c r="G30" s="2"/>
      <x:c r="H30" s="2"/>
      <x:c r="I30" s="2"/>
      <x:c r="J30" s="2"/>
      <x:c r="K30" s="1"/>
      <x:c r="L30" s="1"/>
    </x:row>
    <x:row r="31" ht="21" customHeight="1">
      <x:c r="A31" s="1"/>
      <x:c r="B31" s="1"/>
      <x:c r="C31" s="1"/>
      <x:c r="D31" s="2"/>
      <x:c r="E31" s="2"/>
      <x:c r="F31" s="2"/>
      <x:c r="G31" s="2"/>
      <x:c r="H31" s="2"/>
      <x:c r="I31" s="2"/>
      <x:c r="J31" s="2"/>
      <x:c r="K31" s="1"/>
      <x:c r="L31" s="1"/>
    </x:row>
    <x:row r="32" ht="21" customHeight="1">
      <x:c r="A32" s="1"/>
      <x:c r="B32" s="1"/>
      <x:c r="C32" s="1"/>
      <x:c r="D32" s="2"/>
      <x:c r="E32" s="2"/>
      <x:c r="F32" s="2"/>
      <x:c r="G32" s="2"/>
      <x:c r="H32" s="2"/>
      <x:c r="I32" s="2"/>
      <x:c r="J32" s="2"/>
      <x:c r="K32" s="1"/>
      <x:c r="L32" s="1"/>
    </x:row>
    <x:row r="33" ht="21" customHeight="1">
      <x:c r="A33" s="1"/>
      <x:c r="B33" s="1"/>
      <x:c r="C33" s="1"/>
      <x:c r="D33" s="2"/>
      <x:c r="E33" s="2"/>
      <x:c r="F33" s="2"/>
      <x:c r="G33" s="2"/>
      <x:c r="H33" s="2"/>
      <x:c r="I33" s="2"/>
      <x:c r="J33" s="2"/>
      <x:c r="K33" s="1"/>
      <x:c r="L33" s="1"/>
    </x:row>
    <x:row r="34" ht="21" customHeight="1">
      <x:c r="A34" s="1"/>
      <x:c r="B34" s="1"/>
      <x:c r="C34" s="1"/>
      <x:c r="D34" s="2"/>
      <x:c r="E34" s="2"/>
      <x:c r="F34" s="2"/>
      <x:c r="G34" s="2"/>
      <x:c r="H34" s="2"/>
      <x:c r="I34" s="2"/>
      <x:c r="J34" s="2"/>
      <x:c r="K34" s="1"/>
      <x:c r="L34" s="1"/>
    </x:row>
    <x:row r="35" ht="21" customHeight="1">
      <x:c r="A35" s="1"/>
      <x:c r="B35" s="1"/>
      <x:c r="C35" s="1"/>
      <x:c r="D35" s="2"/>
      <x:c r="E35" s="2"/>
      <x:c r="F35" s="2"/>
      <x:c r="G35" s="2"/>
      <x:c r="H35" s="2"/>
      <x:c r="I35" s="2"/>
      <x:c r="J35" s="2"/>
      <x:c r="K35" s="1"/>
      <x:c r="L35" s="1"/>
    </x:row>
    <x:row r="36" ht="21" customHeight="1">
      <x:c r="A36" s="1"/>
      <x:c r="B36" s="1"/>
      <x:c r="C36" s="1"/>
      <x:c r="D36" s="2"/>
      <x:c r="E36" s="2"/>
      <x:c r="F36" s="2"/>
      <x:c r="G36" s="2"/>
      <x:c r="H36" s="2"/>
      <x:c r="I36" s="2"/>
      <x:c r="J36" s="2"/>
      <x:c r="K36" s="1"/>
      <x:c r="L36" s="1"/>
    </x:row>
    <x:row r="37" ht="21" customHeight="1">
      <x:c r="A37" s="1"/>
      <x:c r="B37" s="1"/>
      <x:c r="C37" s="1"/>
      <x:c r="D37" s="2"/>
      <x:c r="E37" s="2"/>
      <x:c r="F37" s="2"/>
      <x:c r="G37" s="2"/>
      <x:c r="H37" s="2"/>
      <x:c r="I37" s="2"/>
      <x:c r="J37" s="2"/>
      <x:c r="K37" s="1"/>
      <x:c r="L37" s="1"/>
    </x:row>
    <x:row r="38" ht="21" customHeight="1">
      <x:c r="A38" s="1"/>
      <x:c r="B38" s="1"/>
      <x:c r="C38" s="1"/>
      <x:c r="D38" s="2"/>
      <x:c r="E38" s="2"/>
      <x:c r="F38" s="2"/>
      <x:c r="G38" s="2"/>
      <x:c r="H38" s="2"/>
      <x:c r="I38" s="2"/>
      <x:c r="J38" s="2"/>
      <x:c r="K38" s="1"/>
      <x:c r="L38" s="1"/>
    </x:row>
    <x:row r="39" ht="21" customHeight="1">
      <x:c r="A39" s="1"/>
      <x:c r="B39" s="1"/>
      <x:c r="C39" s="1"/>
      <x:c r="D39" s="2"/>
      <x:c r="E39" s="2"/>
      <x:c r="F39" s="2"/>
      <x:c r="G39" s="2"/>
      <x:c r="H39" s="2"/>
      <x:c r="I39" s="2"/>
      <x:c r="J39" s="2"/>
      <x:c r="K39" s="1"/>
      <x:c r="L39" s="1"/>
    </x:row>
    <x:row r="40" ht="21" customHeight="1">
      <x:c r="A40" s="1"/>
      <x:c r="B40" s="1"/>
      <x:c r="C40" s="1"/>
      <x:c r="D40" s="2"/>
      <x:c r="E40" s="2"/>
      <x:c r="F40" s="2"/>
      <x:c r="G40" s="2"/>
      <x:c r="H40" s="2"/>
      <x:c r="I40" s="2"/>
      <x:c r="J40" s="2"/>
      <x:c r="K40" s="1"/>
      <x:c r="L40" s="1"/>
    </x:row>
    <x:row r="41" ht="21" customHeight="1">
      <x:c r="A41" s="1"/>
      <x:c r="B41" s="1"/>
      <x:c r="C41" s="1"/>
      <x:c r="D41" s="2"/>
      <x:c r="E41" s="2"/>
      <x:c r="F41" s="2"/>
      <x:c r="G41" s="2"/>
      <x:c r="H41" s="2"/>
      <x:c r="I41" s="2"/>
      <x:c r="J41" s="2"/>
      <x:c r="K41" s="1"/>
      <x:c r="L41" s="1"/>
    </x:row>
    <x:row r="42" ht="21" customHeight="1">
      <x:c r="A42" s="1"/>
      <x:c r="B42" s="1"/>
      <x:c r="C42" s="1"/>
      <x:c r="D42" s="2"/>
      <x:c r="E42" s="2"/>
      <x:c r="F42" s="2"/>
      <x:c r="G42" s="2"/>
      <x:c r="H42" s="2"/>
      <x:c r="I42" s="2"/>
      <x:c r="J42" s="2"/>
      <x:c r="K42" s="1"/>
      <x:c r="L42" s="1"/>
    </x:row>
    <x:row r="43" ht="21" customHeight="1">
      <x:c r="A43" s="1"/>
      <x:c r="B43" s="1"/>
      <x:c r="C43" s="1"/>
      <x:c r="D43" s="2"/>
      <x:c r="E43" s="2"/>
      <x:c r="F43" s="2"/>
      <x:c r="G43" s="2"/>
      <x:c r="H43" s="2"/>
      <x:c r="I43" s="2"/>
      <x:c r="J43" s="2"/>
      <x:c r="K43" s="1"/>
      <x:c r="L43" s="1"/>
    </x:row>
    <x:row r="44" ht="21" customHeight="1">
      <x:c r="A44" s="1"/>
      <x:c r="B44" s="1"/>
      <x:c r="C44" s="1"/>
      <x:c r="D44" s="2"/>
      <x:c r="E44" s="2"/>
      <x:c r="F44" s="2"/>
      <x:c r="G44" s="2"/>
      <x:c r="H44" s="2"/>
      <x:c r="I44" s="2"/>
      <x:c r="J44" s="2"/>
      <x:c r="K44" s="1"/>
      <x:c r="L44" s="1"/>
    </x:row>
    <x:row r="45" ht="21" customHeight="1">
      <x:c r="A45" s="1"/>
      <x:c r="B45" s="1"/>
      <x:c r="C45" s="1"/>
      <x:c r="D45" s="2"/>
      <x:c r="E45" s="2"/>
      <x:c r="F45" s="2"/>
      <x:c r="G45" s="2"/>
      <x:c r="H45" s="2"/>
      <x:c r="I45" s="2"/>
      <x:c r="J45" s="2"/>
      <x:c r="K45" s="1"/>
      <x:c r="L45" s="1"/>
    </x:row>
    <x:row r="46" ht="21" customHeight="1">
      <x:c r="A46" s="1"/>
      <x:c r="B46" s="1"/>
      <x:c r="C46" s="1"/>
      <x:c r="D46" s="2"/>
      <x:c r="E46" s="2"/>
      <x:c r="F46" s="2"/>
      <x:c r="G46" s="2"/>
      <x:c r="H46" s="2"/>
      <x:c r="I46" s="2"/>
      <x:c r="J46" s="2"/>
      <x:c r="K46" s="1"/>
      <x:c r="L46" s="1"/>
    </x:row>
    <x:row r="47" ht="21" customHeight="1">
      <x:c r="A47" s="1"/>
      <x:c r="B47" s="1"/>
      <x:c r="C47" s="1"/>
      <x:c r="D47" s="2"/>
      <x:c r="E47" s="2"/>
      <x:c r="F47" s="2"/>
      <x:c r="G47" s="2"/>
      <x:c r="H47" s="2"/>
      <x:c r="I47" s="2"/>
      <x:c r="J47" s="2"/>
      <x:c r="K47" s="1"/>
      <x:c r="L47" s="1"/>
    </x:row>
    <x:row r="48" ht="21" customHeight="1">
      <x:c r="A48" s="1"/>
      <x:c r="B48" s="1"/>
      <x:c r="C48" s="1"/>
      <x:c r="D48" s="2"/>
      <x:c r="E48" s="2"/>
      <x:c r="F48" s="2"/>
      <x:c r="G48" s="2"/>
      <x:c r="H48" s="2"/>
      <x:c r="I48" s="2"/>
      <x:c r="J48" s="2"/>
      <x:c r="K48" s="1"/>
      <x:c r="L48" s="1"/>
    </x:row>
    <x:row r="49" ht="21" customHeight="1">
      <x:c r="A49" s="1"/>
      <x:c r="B49" s="1"/>
      <x:c r="C49" s="1"/>
      <x:c r="D49" s="2"/>
      <x:c r="E49" s="2"/>
      <x:c r="F49" s="2"/>
      <x:c r="G49" s="2"/>
      <x:c r="H49" s="2"/>
      <x:c r="I49" s="2"/>
      <x:c r="J49" s="2"/>
      <x:c r="K49" s="1"/>
      <x:c r="L49" s="1"/>
    </x:row>
    <x:row r="50" ht="21" customHeight="1">
      <x:c r="A50" s="1"/>
      <x:c r="B50" s="1"/>
      <x:c r="C50" s="1"/>
      <x:c r="D50" s="2"/>
      <x:c r="E50" s="2"/>
      <x:c r="F50" s="2"/>
      <x:c r="G50" s="2"/>
      <x:c r="H50" s="2"/>
      <x:c r="I50" s="2"/>
      <x:c r="J50" s="2"/>
      <x:c r="K50" s="1"/>
      <x:c r="L50" s="1"/>
    </x:row>
    <x:row r="51" ht="21" customHeight="1">
      <x:c r="A51" s="1"/>
      <x:c r="B51" s="1"/>
      <x:c r="C51" s="1"/>
      <x:c r="D51" s="2"/>
      <x:c r="E51" s="2"/>
      <x:c r="F51" s="2"/>
      <x:c r="G51" s="2"/>
      <x:c r="H51" s="2"/>
      <x:c r="I51" s="2"/>
      <x:c r="J51" s="2"/>
      <x:c r="K51" s="1"/>
      <x:c r="L51" s="1"/>
    </x:row>
    <x:row r="52" ht="21" customHeight="1">
      <x:c r="A52" s="1"/>
      <x:c r="B52" s="1"/>
      <x:c r="C52" s="1"/>
      <x:c r="D52" s="2"/>
      <x:c r="E52" s="2"/>
      <x:c r="F52" s="2"/>
      <x:c r="G52" s="2"/>
      <x:c r="H52" s="2"/>
      <x:c r="I52" s="2"/>
      <x:c r="J52" s="2"/>
      <x:c r="K52" s="1"/>
      <x:c r="L52" s="1"/>
    </x:row>
    <x:row r="53" ht="21" customHeight="1">
      <x:c r="A53" s="1"/>
      <x:c r="B53" s="1"/>
      <x:c r="C53" s="1"/>
      <x:c r="D53" s="2"/>
      <x:c r="E53" s="2"/>
      <x:c r="F53" s="2"/>
      <x:c r="G53" s="2"/>
      <x:c r="H53" s="2"/>
      <x:c r="I53" s="2"/>
      <x:c r="J53" s="2"/>
      <x:c r="K53" s="1"/>
      <x:c r="L53" s="1"/>
    </x:row>
    <x:row r="54" ht="21" customHeight="1">
      <x:c r="A54" s="1"/>
      <x:c r="B54" s="1"/>
      <x:c r="C54" s="1"/>
      <x:c r="D54" s="2"/>
      <x:c r="E54" s="2"/>
      <x:c r="F54" s="2"/>
      <x:c r="G54" s="2"/>
      <x:c r="H54" s="2"/>
      <x:c r="I54" s="2"/>
      <x:c r="J54" s="2"/>
      <x:c r="K54" s="1"/>
      <x:c r="L54" s="1"/>
    </x:row>
    <x:row r="55" ht="21" customHeight="1">
      <x:c r="A55" s="1"/>
      <x:c r="B55" s="1"/>
      <x:c r="C55" s="1"/>
      <x:c r="D55" s="2"/>
      <x:c r="E55" s="2"/>
      <x:c r="F55" s="2"/>
      <x:c r="G55" s="2"/>
      <x:c r="H55" s="2"/>
      <x:c r="I55" s="2"/>
      <x:c r="J55" s="2"/>
      <x:c r="K55" s="1"/>
      <x:c r="L55" s="1"/>
    </x:row>
    <x:row r="56" ht="21" customHeight="1">
      <x:c r="A56" s="1"/>
      <x:c r="B56" s="1"/>
      <x:c r="C56" s="1"/>
      <x:c r="D56" s="2"/>
      <x:c r="E56" s="2"/>
      <x:c r="F56" s="2"/>
      <x:c r="G56" s="2"/>
      <x:c r="H56" s="2"/>
      <x:c r="I56" s="2"/>
      <x:c r="J56" s="2"/>
      <x:c r="K56" s="1"/>
      <x:c r="L56" s="1"/>
    </x:row>
    <x:row r="57" ht="21" customHeight="1">
      <x:c r="A57" s="1"/>
      <x:c r="B57" s="1"/>
      <x:c r="C57" s="1"/>
      <x:c r="D57" s="2"/>
      <x:c r="E57" s="2"/>
      <x:c r="F57" s="2"/>
      <x:c r="G57" s="2"/>
      <x:c r="H57" s="2"/>
      <x:c r="I57" s="2"/>
      <x:c r="J57" s="2"/>
      <x:c r="K57" s="1"/>
      <x:c r="L57" s="1"/>
    </x:row>
    <x:row r="58" ht="21" customHeight="1">
      <x:c r="A58" s="1"/>
      <x:c r="B58" s="1"/>
      <x:c r="C58" s="1"/>
      <x:c r="D58" s="2"/>
      <x:c r="E58" s="2"/>
      <x:c r="F58" s="2"/>
      <x:c r="G58" s="2"/>
      <x:c r="H58" s="2"/>
      <x:c r="I58" s="2"/>
      <x:c r="J58" s="2"/>
      <x:c r="K58" s="1"/>
      <x:c r="L58" s="1"/>
    </x:row>
    <x:row r="59" ht="21" customHeight="1">
      <x:c r="A59" s="1"/>
      <x:c r="B59" s="1"/>
      <x:c r="C59" s="1"/>
      <x:c r="D59" s="2"/>
      <x:c r="E59" s="2"/>
      <x:c r="F59" s="2"/>
      <x:c r="G59" s="2"/>
      <x:c r="H59" s="2"/>
      <x:c r="I59" s="2"/>
      <x:c r="J59" s="2"/>
      <x:c r="K59" s="1"/>
      <x:c r="L59" s="1"/>
    </x:row>
    <x:row r="60" ht="21" customHeight="1">
      <x:c r="A60" s="1"/>
      <x:c r="B60" s="1"/>
      <x:c r="C60" s="1"/>
      <x:c r="D60" s="2"/>
      <x:c r="E60" s="2"/>
      <x:c r="F60" s="2"/>
      <x:c r="G60" s="2"/>
      <x:c r="H60" s="2"/>
      <x:c r="I60" s="2"/>
      <x:c r="J60" s="2"/>
      <x:c r="K60" s="1"/>
      <x:c r="L60" s="1"/>
    </x:row>
    <x:row r="61" ht="21" customHeight="1">
      <x:c r="A61" s="1"/>
      <x:c r="B61" s="1"/>
      <x:c r="C61" s="1"/>
      <x:c r="D61" s="2"/>
      <x:c r="E61" s="2"/>
      <x:c r="F61" s="2"/>
      <x:c r="G61" s="2"/>
      <x:c r="H61" s="2"/>
      <x:c r="I61" s="2"/>
      <x:c r="J61" s="2"/>
      <x:c r="K61" s="1"/>
      <x:c r="L61" s="1"/>
    </x:row>
    <x:row r="62" ht="21" customHeight="1">
      <x:c r="A62" s="1"/>
      <x:c r="B62" s="1"/>
      <x:c r="C62" s="1"/>
      <x:c r="D62" s="2"/>
      <x:c r="E62" s="2"/>
      <x:c r="F62" s="2"/>
      <x:c r="G62" s="2"/>
      <x:c r="H62" s="2"/>
      <x:c r="I62" s="2"/>
      <x:c r="J62" s="2"/>
      <x:c r="K62" s="1"/>
      <x:c r="L62" s="1"/>
    </x:row>
    <x:row r="63" ht="21" customHeight="1">
      <x:c r="A63" s="1"/>
      <x:c r="B63" s="1"/>
      <x:c r="C63" s="1"/>
      <x:c r="D63" s="2"/>
      <x:c r="E63" s="2"/>
      <x:c r="F63" s="2"/>
      <x:c r="G63" s="2"/>
      <x:c r="H63" s="2"/>
      <x:c r="I63" s="2"/>
      <x:c r="J63" s="2"/>
      <x:c r="K63" s="1"/>
      <x:c r="L63" s="1"/>
    </x:row>
    <x:row r="64" ht="21" customHeight="1">
      <x:c r="A64" s="1"/>
      <x:c r="B64" s="1"/>
      <x:c r="C64" s="1"/>
      <x:c r="D64" s="2"/>
      <x:c r="E64" s="2"/>
      <x:c r="F64" s="2"/>
      <x:c r="G64" s="2"/>
      <x:c r="H64" s="2"/>
      <x:c r="I64" s="2"/>
      <x:c r="J64" s="2"/>
      <x:c r="K64" s="1"/>
      <x:c r="L64" s="1"/>
    </x:row>
    <x:row r="65" ht="21" customHeight="1">
      <x:c r="A65" s="1"/>
      <x:c r="B65" s="1"/>
      <x:c r="C65" s="1"/>
      <x:c r="D65" s="2"/>
      <x:c r="E65" s="2"/>
      <x:c r="F65" s="2"/>
      <x:c r="G65" s="2"/>
      <x:c r="H65" s="2"/>
      <x:c r="I65" s="2"/>
      <x:c r="J65" s="2"/>
      <x:c r="K65" s="1"/>
      <x:c r="L65" s="1"/>
    </x:row>
    <x:row r="66" ht="21" customHeight="1">
      <x:c r="A66" s="1"/>
      <x:c r="B66" s="1"/>
      <x:c r="C66" s="1"/>
      <x:c r="D66" s="2"/>
      <x:c r="E66" s="2"/>
      <x:c r="F66" s="2"/>
      <x:c r="G66" s="2"/>
      <x:c r="H66" s="2"/>
      <x:c r="I66" s="2"/>
      <x:c r="J66" s="2"/>
      <x:c r="K66" s="1"/>
      <x:c r="L66" s="1"/>
    </x:row>
    <x:row r="67" ht="21" customHeight="1">
      <x:c r="A67" s="1"/>
      <x:c r="B67" s="1"/>
      <x:c r="C67" s="1"/>
      <x:c r="D67" s="2"/>
      <x:c r="E67" s="2"/>
      <x:c r="F67" s="2"/>
      <x:c r="G67" s="2"/>
      <x:c r="H67" s="2"/>
      <x:c r="I67" s="2"/>
      <x:c r="J67" s="2"/>
      <x:c r="K67" s="1"/>
      <x:c r="L67" s="1"/>
    </x:row>
    <x:row r="68" ht="21" customHeight="1">
      <x:c r="A68" s="1"/>
      <x:c r="B68" s="1"/>
      <x:c r="C68" s="1"/>
      <x:c r="D68" s="2"/>
      <x:c r="E68" s="2"/>
      <x:c r="F68" s="2"/>
      <x:c r="G68" s="2"/>
      <x:c r="H68" s="2"/>
      <x:c r="I68" s="2"/>
      <x:c r="J68" s="2"/>
      <x:c r="K68" s="1"/>
      <x:c r="L68" s="1"/>
    </x:row>
    <x:row r="69" ht="21" customHeight="1">
      <x:c r="A69" s="1"/>
      <x:c r="B69" s="1"/>
      <x:c r="C69" s="1"/>
      <x:c r="D69" s="2"/>
      <x:c r="E69" s="2"/>
      <x:c r="F69" s="2"/>
      <x:c r="G69" s="2"/>
      <x:c r="H69" s="2"/>
      <x:c r="I69" s="2"/>
      <x:c r="J69" s="2"/>
      <x:c r="K69" s="1"/>
      <x:c r="L69" s="1"/>
    </x:row>
    <x:row r="70" ht="21" customHeight="1">
      <x:c r="A70" s="1"/>
      <x:c r="B70" s="1"/>
      <x:c r="C70" s="1"/>
      <x:c r="D70" s="2"/>
      <x:c r="E70" s="2"/>
      <x:c r="F70" s="2"/>
      <x:c r="G70" s="2"/>
      <x:c r="H70" s="2"/>
      <x:c r="I70" s="2"/>
      <x:c r="J70" s="2"/>
      <x:c r="K70" s="1"/>
      <x:c r="L70" s="1"/>
    </x:row>
    <x:row r="71" ht="21" customHeight="1">
      <x:c r="A71" s="1"/>
      <x:c r="B71" s="1"/>
      <x:c r="C71" s="1"/>
      <x:c r="D71" s="2"/>
      <x:c r="E71" s="2"/>
      <x:c r="F71" s="2"/>
      <x:c r="G71" s="2"/>
      <x:c r="H71" s="2"/>
      <x:c r="I71" s="2"/>
      <x:c r="J71" s="2"/>
      <x:c r="K71" s="1"/>
      <x:c r="L71" s="1"/>
    </x:row>
    <x:row r="72" ht="21" customHeight="1">
      <x:c r="A72" s="1"/>
      <x:c r="B72" s="1"/>
      <x:c r="C72" s="1"/>
      <x:c r="D72" s="2"/>
      <x:c r="E72" s="2"/>
      <x:c r="F72" s="2"/>
      <x:c r="G72" s="2"/>
      <x:c r="H72" s="2"/>
      <x:c r="I72" s="2"/>
      <x:c r="J72" s="2"/>
      <x:c r="K72" s="1"/>
      <x:c r="L72" s="1"/>
    </x:row>
    <x:row r="73" ht="21" customHeight="1">
      <x:c r="A73" s="1"/>
      <x:c r="B73" s="1"/>
      <x:c r="C73" s="1"/>
      <x:c r="D73" s="2"/>
      <x:c r="E73" s="2"/>
      <x:c r="F73" s="2"/>
      <x:c r="G73" s="2"/>
      <x:c r="H73" s="2"/>
      <x:c r="I73" s="2"/>
      <x:c r="J73" s="2"/>
      <x:c r="K73" s="1"/>
      <x:c r="L73" s="1"/>
    </x:row>
    <x:row r="74" ht="21" customHeight="1">
      <x:c r="A74" s="1"/>
      <x:c r="B74" s="1"/>
      <x:c r="C74" s="1"/>
      <x:c r="D74" s="2"/>
      <x:c r="E74" s="2"/>
      <x:c r="F74" s="2"/>
      <x:c r="G74" s="2"/>
      <x:c r="H74" s="2"/>
      <x:c r="I74" s="2"/>
      <x:c r="J74" s="2"/>
      <x:c r="K74" s="1"/>
      <x:c r="L74" s="1"/>
    </x:row>
    <x:row r="75" ht="21" customHeight="1">
      <x:c r="A75" s="1"/>
      <x:c r="B75" s="1"/>
      <x:c r="C75" s="1"/>
      <x:c r="D75" s="2"/>
      <x:c r="E75" s="2"/>
      <x:c r="F75" s="2"/>
      <x:c r="G75" s="2"/>
      <x:c r="H75" s="2"/>
      <x:c r="I75" s="2"/>
      <x:c r="J75" s="2"/>
      <x:c r="K75" s="1"/>
      <x:c r="L75" s="1"/>
    </x:row>
    <x:row r="76" ht="21" customHeight="1">
      <x:c r="A76" s="1"/>
      <x:c r="B76" s="1"/>
      <x:c r="C76" s="1"/>
      <x:c r="D76" s="2"/>
      <x:c r="E76" s="2"/>
      <x:c r="F76" s="2"/>
      <x:c r="G76" s="2"/>
      <x:c r="H76" s="2"/>
      <x:c r="I76" s="2"/>
      <x:c r="J76" s="2"/>
      <x:c r="K76" s="1"/>
      <x:c r="L76" s="1"/>
    </x:row>
    <x:row r="77" ht="21" customHeight="1">
      <x:c r="A77" s="1"/>
      <x:c r="B77" s="1"/>
      <x:c r="C77" s="1"/>
      <x:c r="D77" s="2"/>
      <x:c r="E77" s="2"/>
      <x:c r="F77" s="2"/>
      <x:c r="G77" s="2"/>
      <x:c r="H77" s="2"/>
      <x:c r="I77" s="2"/>
      <x:c r="J77" s="2"/>
      <x:c r="K77" s="1"/>
      <x:c r="L77" s="1"/>
    </x:row>
    <x:row r="78" ht="21" customHeight="1">
      <x:c r="A78" s="1"/>
      <x:c r="B78" s="1"/>
      <x:c r="C78" s="1"/>
      <x:c r="D78" s="2"/>
      <x:c r="E78" s="2"/>
      <x:c r="F78" s="2"/>
      <x:c r="G78" s="2"/>
      <x:c r="H78" s="2"/>
      <x:c r="I78" s="2"/>
      <x:c r="J78" s="2"/>
      <x:c r="K78" s="1"/>
      <x:c r="L78" s="1"/>
    </x:row>
    <x:row r="79" ht="21" customHeight="1">
      <x:c r="A79" s="1"/>
      <x:c r="B79" s="1"/>
      <x:c r="C79" s="1"/>
      <x:c r="D79" s="2"/>
      <x:c r="E79" s="2"/>
      <x:c r="F79" s="2"/>
      <x:c r="G79" s="2"/>
      <x:c r="H79" s="2"/>
      <x:c r="I79" s="2"/>
      <x:c r="J79" s="2"/>
      <x:c r="K79" s="1"/>
      <x:c r="L79" s="1"/>
    </x:row>
    <x:row r="80" ht="21" customHeight="1">
      <x:c r="A80" s="1"/>
      <x:c r="B80" s="1"/>
      <x:c r="C80" s="1"/>
      <x:c r="D80" s="2"/>
      <x:c r="E80" s="2"/>
      <x:c r="F80" s="2"/>
      <x:c r="G80" s="2"/>
      <x:c r="H80" s="2"/>
      <x:c r="I80" s="2"/>
      <x:c r="J80" s="2"/>
      <x:c r="K80" s="1"/>
      <x:c r="L80" s="1"/>
    </x:row>
    <x:row r="81" ht="21" customHeight="1">
      <x:c r="A81" s="1"/>
      <x:c r="B81" s="1"/>
      <x:c r="C81" s="1"/>
      <x:c r="D81" s="2"/>
      <x:c r="E81" s="2"/>
      <x:c r="F81" s="2"/>
      <x:c r="G81" s="2"/>
      <x:c r="H81" s="2"/>
      <x:c r="I81" s="2"/>
      <x:c r="J81" s="2"/>
      <x:c r="K81" s="1"/>
      <x:c r="L81" s="1"/>
    </x:row>
    <x:row r="82" ht="21" customHeight="1">
      <x:c r="A82" s="1"/>
      <x:c r="B82" s="1"/>
      <x:c r="C82" s="1"/>
      <x:c r="D82" s="2"/>
      <x:c r="E82" s="2"/>
      <x:c r="F82" s="2"/>
      <x:c r="G82" s="2"/>
      <x:c r="H82" s="2"/>
      <x:c r="I82" s="2"/>
      <x:c r="J82" s="2"/>
      <x:c r="K82" s="1"/>
      <x:c r="L82" s="1"/>
    </x:row>
    <x:row r="83" ht="21" customHeight="1">
      <x:c r="A83" s="1"/>
      <x:c r="B83" s="1"/>
      <x:c r="C83" s="1"/>
      <x:c r="D83" s="2"/>
      <x:c r="E83" s="2"/>
      <x:c r="F83" s="2"/>
      <x:c r="G83" s="2"/>
      <x:c r="H83" s="2"/>
      <x:c r="I83" s="2"/>
      <x:c r="J83" s="2"/>
      <x:c r="K83" s="1"/>
      <x:c r="L83" s="1"/>
    </x:row>
    <x:row r="84" ht="21" customHeight="1">
      <x:c r="A84" s="1"/>
      <x:c r="B84" s="1"/>
      <x:c r="C84" s="1"/>
      <x:c r="D84" s="2"/>
      <x:c r="E84" s="2"/>
      <x:c r="F84" s="2"/>
      <x:c r="G84" s="2"/>
      <x:c r="H84" s="2"/>
      <x:c r="I84" s="2"/>
      <x:c r="J84" s="2"/>
      <x:c r="K84" s="1"/>
      <x:c r="L84" s="1"/>
    </x:row>
    <x:row r="85" ht="21" customHeight="1">
      <x:c r="A85" s="1"/>
      <x:c r="B85" s="1"/>
      <x:c r="C85" s="1"/>
      <x:c r="D85" s="2"/>
      <x:c r="E85" s="2"/>
      <x:c r="F85" s="2"/>
      <x:c r="G85" s="2"/>
      <x:c r="H85" s="2"/>
      <x:c r="I85" s="2"/>
      <x:c r="J85" s="2"/>
      <x:c r="K85" s="1"/>
      <x:c r="L85" s="1"/>
    </x:row>
    <x:row r="86" ht="21" customHeight="1">
      <x:c r="A86" s="1"/>
      <x:c r="B86" s="1"/>
      <x:c r="C86" s="1"/>
      <x:c r="D86" s="2"/>
      <x:c r="E86" s="2"/>
      <x:c r="F86" s="2"/>
      <x:c r="G86" s="2"/>
      <x:c r="H86" s="2"/>
      <x:c r="I86" s="2"/>
      <x:c r="J86" s="2"/>
      <x:c r="K86" s="1"/>
      <x:c r="L86" s="1"/>
    </x:row>
    <x:row r="87" ht="21" customHeight="1">
      <x:c r="A87" s="1"/>
      <x:c r="B87" s="1"/>
      <x:c r="C87" s="1"/>
      <x:c r="D87" s="2"/>
      <x:c r="E87" s="2"/>
      <x:c r="F87" s="2"/>
      <x:c r="G87" s="2"/>
      <x:c r="H87" s="2"/>
      <x:c r="I87" s="2"/>
      <x:c r="J87" s="2"/>
      <x:c r="K87" s="1"/>
      <x:c r="L87" s="1"/>
    </x:row>
    <x:row r="88" ht="21" customHeight="1">
      <x:c r="A88" s="1"/>
      <x:c r="B88" s="1"/>
      <x:c r="C88" s="1"/>
      <x:c r="D88" s="2"/>
      <x:c r="E88" s="2"/>
      <x:c r="F88" s="2"/>
      <x:c r="G88" s="2"/>
      <x:c r="H88" s="2"/>
      <x:c r="I88" s="2"/>
      <x:c r="J88" s="2"/>
      <x:c r="K88" s="1"/>
      <x:c r="L88" s="1"/>
    </x:row>
    <x:row r="89" ht="21" customHeight="1">
      <x:c r="A89" s="1"/>
      <x:c r="B89" s="1"/>
      <x:c r="C89" s="1"/>
      <x:c r="D89" s="2"/>
      <x:c r="E89" s="2"/>
      <x:c r="F89" s="2"/>
      <x:c r="G89" s="2"/>
      <x:c r="H89" s="2"/>
      <x:c r="I89" s="2"/>
      <x:c r="J89" s="2"/>
      <x:c r="K89" s="1"/>
      <x:c r="L89" s="1"/>
    </x:row>
    <x:row r="90" ht="21" customHeight="1">
      <x:c r="A90" s="1"/>
      <x:c r="B90" s="1"/>
      <x:c r="C90" s="1"/>
      <x:c r="D90" s="2"/>
      <x:c r="E90" s="2"/>
      <x:c r="F90" s="2"/>
      <x:c r="G90" s="2"/>
      <x:c r="H90" s="2"/>
      <x:c r="I90" s="2"/>
      <x:c r="J90" s="2"/>
      <x:c r="K90" s="1"/>
      <x:c r="L90" s="1"/>
    </x:row>
    <x:row r="91" ht="21" customHeight="1">
      <x:c r="A91" s="1"/>
      <x:c r="B91" s="1"/>
      <x:c r="C91" s="1"/>
      <x:c r="D91" s="2"/>
      <x:c r="E91" s="2"/>
      <x:c r="F91" s="2"/>
      <x:c r="G91" s="2"/>
      <x:c r="H91" s="2"/>
      <x:c r="I91" s="2"/>
      <x:c r="J91" s="2"/>
      <x:c r="K91" s="1"/>
      <x:c r="L91" s="1"/>
    </x:row>
    <x:row r="92" ht="21" customHeight="1">
      <x:c r="A92" s="1"/>
      <x:c r="B92" s="1"/>
      <x:c r="C92" s="1"/>
      <x:c r="D92" s="2"/>
      <x:c r="E92" s="2"/>
      <x:c r="F92" s="2"/>
      <x:c r="G92" s="2"/>
      <x:c r="H92" s="2"/>
      <x:c r="I92" s="2"/>
      <x:c r="J92" s="2"/>
      <x:c r="K92" s="1"/>
      <x:c r="L92" s="1"/>
    </x:row>
    <x:row r="93" ht="21" customHeight="1">
      <x:c r="A93" s="1"/>
      <x:c r="B93" s="1"/>
      <x:c r="C93" s="1"/>
      <x:c r="D93" s="2"/>
      <x:c r="E93" s="2"/>
      <x:c r="F93" s="2"/>
      <x:c r="G93" s="2"/>
      <x:c r="H93" s="2"/>
      <x:c r="I93" s="2"/>
      <x:c r="J93" s="2"/>
      <x:c r="K93" s="1"/>
      <x:c r="L93" s="1"/>
    </x:row>
    <x:row r="94" ht="21" customHeight="1">
      <x:c r="A94" s="1"/>
      <x:c r="B94" s="1"/>
      <x:c r="C94" s="1"/>
      <x:c r="D94" s="2"/>
      <x:c r="E94" s="2"/>
      <x:c r="F94" s="2"/>
      <x:c r="G94" s="2"/>
      <x:c r="H94" s="2"/>
      <x:c r="I94" s="2"/>
      <x:c r="J94" s="2"/>
      <x:c r="K94" s="1"/>
      <x:c r="L94" s="1"/>
    </x:row>
    <x:row r="95" ht="21" customHeight="1">
      <x:c r="A95" s="1"/>
      <x:c r="B95" s="1"/>
      <x:c r="C95" s="1"/>
      <x:c r="D95" s="2"/>
      <x:c r="E95" s="2"/>
      <x:c r="F95" s="2"/>
      <x:c r="G95" s="2"/>
      <x:c r="H95" s="2"/>
      <x:c r="I95" s="2"/>
      <x:c r="J95" s="2"/>
      <x:c r="K95" s="1"/>
      <x:c r="L95" s="1"/>
    </x:row>
    <x:row r="96" ht="21" customHeight="1">
      <x:c r="A96" s="1"/>
      <x:c r="B96" s="1"/>
      <x:c r="C96" s="1"/>
      <x:c r="D96" s="2"/>
      <x:c r="E96" s="2"/>
      <x:c r="F96" s="2"/>
      <x:c r="G96" s="2"/>
      <x:c r="H96" s="2"/>
      <x:c r="I96" s="2"/>
      <x:c r="J96" s="2"/>
      <x:c r="K96" s="1"/>
      <x:c r="L96" s="1"/>
    </x:row>
    <x:row r="97" ht="21" customHeight="1">
      <x:c r="A97" s="1"/>
      <x:c r="B97" s="1"/>
      <x:c r="C97" s="1"/>
      <x:c r="D97" s="2"/>
      <x:c r="E97" s="2"/>
      <x:c r="F97" s="2"/>
      <x:c r="G97" s="2"/>
      <x:c r="H97" s="2"/>
      <x:c r="I97" s="2"/>
      <x:c r="J97" s="2"/>
      <x:c r="K97" s="1"/>
      <x:c r="L97" s="1"/>
    </x:row>
    <x:row r="98" ht="21" customHeight="1">
      <x:c r="A98" s="1"/>
      <x:c r="B98" s="1"/>
      <x:c r="C98" s="1"/>
      <x:c r="D98" s="2"/>
      <x:c r="E98" s="2"/>
      <x:c r="F98" s="2"/>
      <x:c r="G98" s="2"/>
      <x:c r="H98" s="2"/>
      <x:c r="I98" s="2"/>
      <x:c r="J98" s="2"/>
      <x:c r="K98" s="1"/>
      <x:c r="L98" s="1"/>
    </x:row>
    <x:row r="99" ht="21" customHeight="1">
      <x:c r="A99" s="1"/>
      <x:c r="B99" s="1"/>
      <x:c r="C99" s="1"/>
      <x:c r="D99" s="2"/>
      <x:c r="E99" s="2"/>
      <x:c r="F99" s="2"/>
      <x:c r="G99" s="2"/>
      <x:c r="H99" s="2"/>
      <x:c r="I99" s="2"/>
      <x:c r="J99" s="2"/>
      <x:c r="K99" s="1"/>
      <x:c r="L99" s="1"/>
    </x:row>
    <x:row r="100" ht="21" customHeight="1">
      <x:c r="A100" s="1"/>
      <x:c r="B100" s="1"/>
      <x:c r="C100" s="1"/>
      <x:c r="D100" s="2"/>
      <x:c r="E100" s="2"/>
      <x:c r="F100" s="2"/>
      <x:c r="G100" s="2"/>
      <x:c r="H100" s="2"/>
      <x:c r="I100" s="2"/>
      <x:c r="J100" s="2"/>
      <x:c r="K100" s="1"/>
      <x:c r="L100" s="1"/>
    </x:row>
    <x:row r="101" ht="21" customHeight="1">
      <x:c r="A101" s="1"/>
      <x:c r="B101" s="1"/>
      <x:c r="C101" s="1"/>
      <x:c r="D101" s="2"/>
      <x:c r="E101" s="2"/>
      <x:c r="F101" s="2"/>
      <x:c r="G101" s="2"/>
      <x:c r="H101" s="2"/>
      <x:c r="I101" s="2"/>
      <x:c r="J101" s="2"/>
      <x:c r="K101" s="1"/>
      <x:c r="L101" s="1"/>
    </x:row>
    <x:row r="102" ht="21" customHeight="1">
      <x:c r="A102" s="1"/>
      <x:c r="B102" s="1"/>
      <x:c r="C102" s="1"/>
      <x:c r="D102" s="2"/>
      <x:c r="E102" s="2"/>
      <x:c r="F102" s="2"/>
      <x:c r="G102" s="2"/>
      <x:c r="H102" s="2"/>
      <x:c r="I102" s="2"/>
      <x:c r="J102" s="2"/>
      <x:c r="K102" s="1"/>
      <x:c r="L102" s="1"/>
    </x:row>
    <x:row r="103" ht="21" customHeight="1">
      <x:c r="A103" s="1"/>
      <x:c r="B103" s="1"/>
      <x:c r="C103" s="1"/>
      <x:c r="D103" s="2"/>
      <x:c r="E103" s="2"/>
      <x:c r="F103" s="2"/>
      <x:c r="G103" s="2"/>
      <x:c r="H103" s="2"/>
      <x:c r="I103" s="2"/>
      <x:c r="J103" s="2"/>
      <x:c r="K103" s="1"/>
      <x:c r="L103" s="1"/>
    </x:row>
    <x:row r="104" ht="21" customHeight="1">
      <x:c r="A104" s="1"/>
      <x:c r="B104" s="1"/>
      <x:c r="C104" s="1"/>
      <x:c r="D104" s="2"/>
      <x:c r="E104" s="2"/>
      <x:c r="F104" s="2"/>
      <x:c r="G104" s="2"/>
      <x:c r="H104" s="2"/>
      <x:c r="I104" s="2"/>
      <x:c r="J104" s="2"/>
      <x:c r="K104" s="1"/>
      <x:c r="L104" s="1"/>
    </x:row>
    <x:row r="105" ht="21" customHeight="1">
      <x:c r="A105" s="1"/>
      <x:c r="B105" s="1"/>
      <x:c r="C105" s="1"/>
      <x:c r="D105" s="2"/>
      <x:c r="E105" s="2"/>
      <x:c r="F105" s="2"/>
      <x:c r="G105" s="2"/>
      <x:c r="H105" s="2"/>
      <x:c r="I105" s="2"/>
      <x:c r="J105" s="2"/>
      <x:c r="K105" s="1"/>
      <x:c r="L105" s="1"/>
    </x:row>
    <x:row r="106" ht="21" customHeight="1">
      <x:c r="A106" s="1"/>
      <x:c r="B106" s="1"/>
      <x:c r="C106" s="1"/>
      <x:c r="D106" s="2"/>
      <x:c r="E106" s="2"/>
      <x:c r="F106" s="2"/>
      <x:c r="G106" s="2"/>
      <x:c r="H106" s="2"/>
      <x:c r="I106" s="2"/>
      <x:c r="J106" s="2"/>
      <x:c r="K106" s="1"/>
      <x:c r="L106" s="1"/>
    </x:row>
    <x:row r="107" ht="21" customHeight="1">
      <x:c r="A107" s="1"/>
      <x:c r="B107" s="1"/>
      <x:c r="C107" s="1"/>
      <x:c r="D107" s="2"/>
      <x:c r="E107" s="2"/>
      <x:c r="F107" s="2"/>
      <x:c r="G107" s="2"/>
      <x:c r="H107" s="2"/>
      <x:c r="I107" s="2"/>
      <x:c r="J107" s="2"/>
      <x:c r="K107" s="1"/>
      <x:c r="L107" s="1"/>
    </x:row>
    <x:row r="108" ht="21" customHeight="1">
      <x:c r="A108" s="1"/>
      <x:c r="B108" s="1"/>
      <x:c r="C108" s="1"/>
      <x:c r="D108" s="2"/>
      <x:c r="E108" s="2"/>
      <x:c r="F108" s="2"/>
      <x:c r="G108" s="2"/>
      <x:c r="H108" s="2"/>
      <x:c r="I108" s="2"/>
      <x:c r="J108" s="2"/>
      <x:c r="K108" s="1"/>
      <x:c r="L108" s="1"/>
    </x:row>
    <x:row r="109" ht="21" customHeight="1">
      <x:c r="A109" s="1"/>
      <x:c r="B109" s="1"/>
      <x:c r="C109" s="1"/>
      <x:c r="D109" s="2"/>
      <x:c r="E109" s="2"/>
      <x:c r="F109" s="2"/>
      <x:c r="G109" s="2"/>
      <x:c r="H109" s="2"/>
      <x:c r="I109" s="2"/>
      <x:c r="J109" s="2"/>
      <x:c r="K109" s="1"/>
      <x:c r="L109" s="1"/>
    </x:row>
    <x:row r="110" ht="21" customHeight="1">
      <x:c r="A110" s="1"/>
      <x:c r="B110" s="1"/>
      <x:c r="C110" s="1"/>
      <x:c r="D110" s="2"/>
      <x:c r="E110" s="2"/>
      <x:c r="F110" s="2"/>
      <x:c r="G110" s="2"/>
      <x:c r="H110" s="2"/>
      <x:c r="I110" s="2"/>
      <x:c r="J110" s="2"/>
      <x:c r="K110" s="1"/>
      <x:c r="L110" s="1"/>
    </x:row>
    <x:row r="111" ht="21" customHeight="1">
      <x:c r="A111" s="1"/>
      <x:c r="B111" s="1"/>
      <x:c r="C111" s="1"/>
      <x:c r="D111" s="2"/>
      <x:c r="E111" s="2"/>
      <x:c r="F111" s="2"/>
      <x:c r="G111" s="2"/>
      <x:c r="H111" s="2"/>
      <x:c r="I111" s="2"/>
      <x:c r="J111" s="2"/>
      <x:c r="K111" s="1"/>
      <x:c r="L111" s="1"/>
    </x:row>
    <x:row r="112" ht="21" customHeight="1">
      <x:c r="A112" s="1"/>
      <x:c r="B112" s="1"/>
      <x:c r="C112" s="1"/>
      <x:c r="D112" s="2"/>
      <x:c r="E112" s="2"/>
      <x:c r="F112" s="2"/>
      <x:c r="G112" s="2"/>
      <x:c r="H112" s="2"/>
      <x:c r="I112" s="2"/>
      <x:c r="J112" s="2"/>
      <x:c r="K112" s="1"/>
      <x:c r="L112" s="1"/>
    </x:row>
    <x:row r="113" ht="21" customHeight="1">
      <x:c r="A113" s="1"/>
      <x:c r="B113" s="1"/>
      <x:c r="C113" s="1"/>
      <x:c r="D113" s="2"/>
      <x:c r="E113" s="2"/>
      <x:c r="F113" s="2"/>
      <x:c r="G113" s="2"/>
      <x:c r="H113" s="2"/>
      <x:c r="I113" s="2"/>
      <x:c r="J113" s="2"/>
      <x:c r="K113" s="1"/>
      <x:c r="L113" s="1"/>
    </x:row>
    <x:row r="114" ht="21" customHeight="1">
      <x:c r="A114" s="1"/>
      <x:c r="B114" s="1"/>
      <x:c r="C114" s="1"/>
      <x:c r="D114" s="2"/>
      <x:c r="E114" s="2"/>
      <x:c r="F114" s="2"/>
      <x:c r="G114" s="2"/>
      <x:c r="H114" s="2"/>
      <x:c r="I114" s="2"/>
      <x:c r="J114" s="2"/>
      <x:c r="K114" s="1"/>
      <x:c r="L114" s="1"/>
    </x:row>
    <x:row r="115" ht="21" customHeight="1">
      <x:c r="A115" s="1"/>
      <x:c r="B115" s="1"/>
      <x:c r="C115" s="1"/>
      <x:c r="D115" s="2"/>
      <x:c r="E115" s="2"/>
      <x:c r="F115" s="2"/>
      <x:c r="G115" s="2"/>
      <x:c r="H115" s="2"/>
      <x:c r="I115" s="2"/>
      <x:c r="J115" s="2"/>
      <x:c r="K115" s="1"/>
      <x:c r="L115" s="1"/>
    </x:row>
    <x:row r="116" ht="21" customHeight="1">
      <x:c r="A116" s="1"/>
      <x:c r="B116" s="1"/>
      <x:c r="C116" s="1"/>
      <x:c r="D116" s="2"/>
      <x:c r="E116" s="2"/>
      <x:c r="F116" s="2"/>
      <x:c r="G116" s="2"/>
      <x:c r="H116" s="2"/>
      <x:c r="I116" s="2"/>
      <x:c r="J116" s="2"/>
      <x:c r="K116" s="1"/>
      <x:c r="L116" s="1"/>
    </x:row>
    <x:row r="117" ht="21" customHeight="1">
      <x:c r="A117" s="1"/>
      <x:c r="B117" s="1"/>
      <x:c r="C117" s="1"/>
      <x:c r="D117" s="2"/>
      <x:c r="E117" s="2"/>
      <x:c r="F117" s="2"/>
      <x:c r="G117" s="2"/>
      <x:c r="H117" s="2"/>
      <x:c r="I117" s="2"/>
      <x:c r="J117" s="2"/>
      <x:c r="K117" s="1"/>
      <x:c r="L117" s="1"/>
    </x:row>
    <x:row r="118" ht="21" customHeight="1">
      <x:c r="A118" s="1"/>
      <x:c r="B118" s="1"/>
      <x:c r="C118" s="1"/>
      <x:c r="D118" s="2"/>
      <x:c r="E118" s="2"/>
      <x:c r="F118" s="2"/>
      <x:c r="G118" s="2"/>
      <x:c r="H118" s="2"/>
      <x:c r="I118" s="2"/>
      <x:c r="J118" s="2"/>
      <x:c r="K118" s="1"/>
      <x:c r="L118" s="1"/>
    </x:row>
    <x:row r="119" ht="21" customHeight="1">
      <x:c r="A119" s="1"/>
      <x:c r="B119" s="1"/>
      <x:c r="C119" s="1"/>
      <x:c r="D119" s="2"/>
      <x:c r="E119" s="2"/>
      <x:c r="F119" s="2"/>
      <x:c r="G119" s="2"/>
      <x:c r="H119" s="2"/>
      <x:c r="I119" s="2"/>
      <x:c r="J119" s="2"/>
      <x:c r="K119" s="1"/>
      <x:c r="L119" s="1"/>
    </x:row>
    <x:row r="120" ht="21" customHeight="1">
      <x:c r="A120" s="1"/>
      <x:c r="B120" s="1"/>
      <x:c r="C120" s="1"/>
      <x:c r="D120" s="2"/>
      <x:c r="E120" s="2"/>
      <x:c r="F120" s="2"/>
      <x:c r="G120" s="2"/>
      <x:c r="H120" s="2"/>
      <x:c r="I120" s="2"/>
      <x:c r="J120" s="2"/>
      <x:c r="K120" s="1"/>
      <x:c r="L120" s="1"/>
    </x:row>
    <x:row r="121" ht="21" customHeight="1">
      <x:c r="A121" s="1"/>
      <x:c r="B121" s="1"/>
      <x:c r="C121" s="1"/>
      <x:c r="D121" s="2"/>
      <x:c r="E121" s="2"/>
      <x:c r="F121" s="2"/>
      <x:c r="G121" s="2"/>
      <x:c r="H121" s="2"/>
      <x:c r="I121" s="2"/>
      <x:c r="J121" s="2"/>
      <x:c r="K121" s="1"/>
      <x:c r="L121" s="1"/>
    </x:row>
    <x:row r="122" ht="21" customHeight="1">
      <x:c r="A122" s="1"/>
      <x:c r="B122" s="1"/>
      <x:c r="C122" s="1"/>
      <x:c r="D122" s="2"/>
      <x:c r="E122" s="2"/>
      <x:c r="F122" s="2"/>
      <x:c r="G122" s="2"/>
      <x:c r="H122" s="2"/>
      <x:c r="I122" s="2"/>
      <x:c r="J122" s="2"/>
      <x:c r="K122" s="1"/>
      <x:c r="L122" s="1"/>
    </x:row>
    <x:row r="123" ht="21" customHeight="1">
      <x:c r="A123" s="1"/>
      <x:c r="B123" s="1"/>
      <x:c r="C123" s="1"/>
      <x:c r="D123" s="2"/>
      <x:c r="E123" s="2"/>
      <x:c r="F123" s="2"/>
      <x:c r="G123" s="2"/>
      <x:c r="H123" s="2"/>
      <x:c r="I123" s="2"/>
      <x:c r="J123" s="2"/>
      <x:c r="K123" s="1"/>
      <x:c r="L123" s="1"/>
    </x:row>
    <x:row r="124" ht="21" customHeight="1">
      <x:c r="A124" s="1"/>
      <x:c r="B124" s="1"/>
      <x:c r="C124" s="1"/>
      <x:c r="D124" s="2"/>
      <x:c r="E124" s="2"/>
      <x:c r="F124" s="2"/>
      <x:c r="G124" s="2"/>
      <x:c r="H124" s="2"/>
      <x:c r="I124" s="2"/>
      <x:c r="J124" s="2"/>
      <x:c r="K124" s="1"/>
      <x:c r="L124" s="1"/>
    </x:row>
    <x:row r="125" ht="21" customHeight="1">
      <x:c r="A125" s="1"/>
      <x:c r="B125" s="1"/>
      <x:c r="C125" s="1"/>
      <x:c r="D125" s="2"/>
      <x:c r="E125" s="2"/>
      <x:c r="F125" s="2"/>
      <x:c r="G125" s="2"/>
      <x:c r="H125" s="2"/>
      <x:c r="I125" s="2"/>
      <x:c r="J125" s="2"/>
      <x:c r="K125" s="1"/>
      <x:c r="L125" s="1"/>
    </x:row>
    <x:row r="126" ht="21" customHeight="1">
      <x:c r="A126" s="1"/>
      <x:c r="B126" s="1"/>
      <x:c r="C126" s="1"/>
      <x:c r="D126" s="2"/>
      <x:c r="E126" s="2"/>
      <x:c r="F126" s="2"/>
      <x:c r="G126" s="2"/>
      <x:c r="H126" s="2"/>
      <x:c r="I126" s="2"/>
      <x:c r="J126" s="2"/>
      <x:c r="K126" s="1"/>
      <x:c r="L126" s="1"/>
    </x:row>
    <x:row r="127" ht="21" customHeight="1">
      <x:c r="A127" s="1"/>
      <x:c r="B127" s="1"/>
      <x:c r="C127" s="1"/>
      <x:c r="D127" s="2"/>
      <x:c r="E127" s="2"/>
      <x:c r="F127" s="2"/>
      <x:c r="G127" s="2"/>
      <x:c r="H127" s="2"/>
      <x:c r="I127" s="2"/>
      <x:c r="J127" s="2"/>
      <x:c r="K127" s="1"/>
      <x:c r="L127" s="1"/>
    </x:row>
    <x:row r="128" ht="21" customHeight="1">
      <x:c r="A128" s="1"/>
      <x:c r="B128" s="1"/>
      <x:c r="C128" s="1"/>
      <x:c r="D128" s="2"/>
      <x:c r="E128" s="2"/>
      <x:c r="F128" s="2"/>
      <x:c r="G128" s="2"/>
      <x:c r="H128" s="2"/>
      <x:c r="I128" s="2"/>
      <x:c r="J128" s="2"/>
      <x:c r="K128" s="1"/>
      <x:c r="L128" s="1"/>
    </x:row>
    <x:row r="129" ht="21" customHeight="1">
      <x:c r="A129" s="1"/>
      <x:c r="B129" s="1"/>
      <x:c r="C129" s="1"/>
      <x:c r="D129" s="2"/>
      <x:c r="E129" s="2"/>
      <x:c r="F129" s="2"/>
      <x:c r="G129" s="2"/>
      <x:c r="H129" s="2"/>
      <x:c r="I129" s="2"/>
      <x:c r="J129" s="2"/>
      <x:c r="K129" s="1"/>
      <x:c r="L129" s="1"/>
    </x:row>
    <x:row r="130" ht="21" customHeight="1">
      <x:c r="A130" s="1"/>
      <x:c r="B130" s="1"/>
      <x:c r="C130" s="1"/>
      <x:c r="D130" s="2"/>
      <x:c r="E130" s="2"/>
      <x:c r="F130" s="2"/>
      <x:c r="G130" s="2"/>
      <x:c r="H130" s="2"/>
      <x:c r="I130" s="2"/>
      <x:c r="J130" s="2"/>
      <x:c r="K130" s="1"/>
      <x:c r="L130" s="1"/>
    </x:row>
    <x:row r="131" ht="21" customHeight="1">
      <x:c r="A131" s="1"/>
      <x:c r="B131" s="1"/>
      <x:c r="C131" s="1"/>
      <x:c r="D131" s="2"/>
      <x:c r="E131" s="2"/>
      <x:c r="F131" s="2"/>
      <x:c r="G131" s="2"/>
      <x:c r="H131" s="2"/>
      <x:c r="I131" s="2"/>
      <x:c r="J131" s="2"/>
      <x:c r="K131" s="1"/>
      <x:c r="L131" s="1"/>
    </x:row>
    <x:row r="132" ht="21" customHeight="1">
      <x:c r="A132" s="1"/>
      <x:c r="B132" s="1"/>
      <x:c r="C132" s="1"/>
      <x:c r="D132" s="2"/>
      <x:c r="E132" s="2"/>
      <x:c r="F132" s="2"/>
      <x:c r="G132" s="2"/>
      <x:c r="H132" s="2"/>
      <x:c r="I132" s="2"/>
      <x:c r="J132" s="2"/>
      <x:c r="K132" s="1"/>
      <x:c r="L132" s="1"/>
    </x:row>
    <x:row r="133" ht="21" customHeight="1">
      <x:c r="A133" s="1"/>
      <x:c r="B133" s="1"/>
      <x:c r="C133" s="1"/>
      <x:c r="D133" s="2"/>
      <x:c r="E133" s="2"/>
      <x:c r="F133" s="2"/>
      <x:c r="G133" s="2"/>
      <x:c r="H133" s="2"/>
      <x:c r="I133" s="2"/>
      <x:c r="J133" s="2"/>
      <x:c r="K133" s="1"/>
      <x:c r="L133" s="1"/>
    </x:row>
    <x:row r="134" ht="21" customHeight="1">
      <x:c r="A134" s="1"/>
      <x:c r="B134" s="1"/>
      <x:c r="C134" s="1"/>
      <x:c r="D134" s="2"/>
      <x:c r="E134" s="2"/>
      <x:c r="F134" s="2"/>
      <x:c r="G134" s="2"/>
      <x:c r="H134" s="2"/>
      <x:c r="I134" s="2"/>
      <x:c r="J134" s="2"/>
      <x:c r="K134" s="1"/>
      <x:c r="L134" s="1"/>
    </x:row>
    <x:row r="135" ht="21" customHeight="1">
      <x:c r="A135" s="1"/>
      <x:c r="B135" s="1"/>
      <x:c r="C135" s="1"/>
      <x:c r="D135" s="2"/>
      <x:c r="E135" s="2"/>
      <x:c r="F135" s="2"/>
      <x:c r="G135" s="2"/>
      <x:c r="H135" s="2"/>
      <x:c r="I135" s="2"/>
      <x:c r="J135" s="2"/>
      <x:c r="K135" s="1"/>
      <x:c r="L135" s="1"/>
    </x:row>
    <x:row r="136" ht="21" customHeight="1">
      <x:c r="A136" s="1"/>
      <x:c r="B136" s="1"/>
      <x:c r="C136" s="1"/>
      <x:c r="D136" s="2"/>
      <x:c r="E136" s="2"/>
      <x:c r="F136" s="2"/>
      <x:c r="G136" s="2"/>
      <x:c r="H136" s="2"/>
      <x:c r="I136" s="2"/>
      <x:c r="J136" s="2"/>
      <x:c r="K136" s="1"/>
      <x:c r="L136" s="1"/>
    </x:row>
    <x:row r="137" ht="21" customHeight="1">
      <x:c r="A137" s="1"/>
      <x:c r="B137" s="1"/>
      <x:c r="C137" s="1"/>
      <x:c r="D137" s="2"/>
      <x:c r="E137" s="2"/>
      <x:c r="F137" s="2"/>
      <x:c r="G137" s="2"/>
      <x:c r="H137" s="2"/>
      <x:c r="I137" s="2"/>
      <x:c r="J137" s="2"/>
      <x:c r="K137" s="1"/>
      <x:c r="L137" s="1"/>
    </x:row>
    <x:row r="138" ht="21" customHeight="1">
      <x:c r="A138" s="1"/>
      <x:c r="B138" s="1"/>
      <x:c r="C138" s="1"/>
      <x:c r="D138" s="2"/>
      <x:c r="E138" s="2"/>
      <x:c r="F138" s="2"/>
      <x:c r="G138" s="2"/>
      <x:c r="H138" s="2"/>
      <x:c r="I138" s="2"/>
      <x:c r="J138" s="2"/>
      <x:c r="K138" s="1"/>
      <x:c r="L138" s="1"/>
    </x:row>
    <x:row r="139" ht="21" customHeight="1">
      <x:c r="A139" s="1"/>
      <x:c r="B139" s="1"/>
      <x:c r="C139" s="1"/>
      <x:c r="D139" s="2"/>
      <x:c r="E139" s="2"/>
      <x:c r="F139" s="2"/>
      <x:c r="G139" s="2"/>
      <x:c r="H139" s="2"/>
      <x:c r="I139" s="2"/>
      <x:c r="J139" s="2"/>
      <x:c r="K139" s="1"/>
      <x:c r="L139" s="1"/>
    </x:row>
    <x:row r="140" ht="21" customHeight="1">
      <x:c r="A140" s="1"/>
      <x:c r="B140" s="1"/>
      <x:c r="C140" s="1"/>
      <x:c r="D140" s="2"/>
      <x:c r="E140" s="2"/>
      <x:c r="F140" s="2"/>
      <x:c r="G140" s="2"/>
      <x:c r="H140" s="2"/>
      <x:c r="I140" s="2"/>
      <x:c r="J140" s="2"/>
      <x:c r="K140" s="1"/>
      <x:c r="L140" s="1"/>
    </x:row>
    <x:row r="141" ht="21" customHeight="1">
      <x:c r="A141" s="1"/>
      <x:c r="B141" s="1"/>
      <x:c r="C141" s="1"/>
      <x:c r="D141" s="2"/>
      <x:c r="E141" s="2"/>
      <x:c r="F141" s="2"/>
      <x:c r="G141" s="2"/>
      <x:c r="H141" s="2"/>
      <x:c r="I141" s="2"/>
      <x:c r="J141" s="2"/>
      <x:c r="K141" s="1"/>
      <x:c r="L141" s="1"/>
    </x:row>
    <x:row r="142" ht="21" customHeight="1">
      <x:c r="A142" s="1"/>
      <x:c r="B142" s="1"/>
      <x:c r="C142" s="1"/>
      <x:c r="D142" s="2"/>
      <x:c r="E142" s="2"/>
      <x:c r="F142" s="2"/>
      <x:c r="G142" s="2"/>
      <x:c r="H142" s="2"/>
      <x:c r="I142" s="2"/>
      <x:c r="J142" s="2"/>
      <x:c r="K142" s="1"/>
      <x:c r="L142" s="1"/>
    </x:row>
    <x:row r="143" ht="21" customHeight="1">
      <x:c r="A143" s="1"/>
      <x:c r="B143" s="1"/>
      <x:c r="C143" s="1"/>
      <x:c r="D143" s="2"/>
      <x:c r="E143" s="2"/>
      <x:c r="F143" s="2"/>
      <x:c r="G143" s="2"/>
      <x:c r="H143" s="2"/>
      <x:c r="I143" s="2"/>
      <x:c r="J143" s="2"/>
      <x:c r="K143" s="1"/>
      <x:c r="L143" s="1"/>
    </x:row>
    <x:row r="144" ht="21" customHeight="1">
      <x:c r="A144" s="1"/>
      <x:c r="B144" s="1"/>
      <x:c r="C144" s="1"/>
      <x:c r="D144" s="2"/>
      <x:c r="E144" s="2"/>
      <x:c r="F144" s="2"/>
      <x:c r="G144" s="2"/>
      <x:c r="H144" s="2"/>
      <x:c r="I144" s="2"/>
      <x:c r="J144" s="2"/>
      <x:c r="K144" s="1"/>
      <x:c r="L144" s="1"/>
    </x:row>
    <x:row r="145" ht="21" customHeight="1">
      <x:c r="A145" s="1"/>
      <x:c r="B145" s="1"/>
      <x:c r="C145" s="1"/>
      <x:c r="D145" s="2"/>
      <x:c r="E145" s="2"/>
      <x:c r="F145" s="2"/>
      <x:c r="G145" s="2"/>
      <x:c r="H145" s="2"/>
      <x:c r="I145" s="2"/>
      <x:c r="J145" s="2"/>
      <x:c r="K145" s="1"/>
      <x:c r="L145" s="1"/>
    </x:row>
    <x:row r="146" ht="21" customHeight="1">
      <x:c r="A146" s="1"/>
      <x:c r="B146" s="1"/>
      <x:c r="C146" s="1"/>
      <x:c r="D146" s="2"/>
      <x:c r="E146" s="2"/>
      <x:c r="F146" s="2"/>
      <x:c r="G146" s="2"/>
      <x:c r="H146" s="2"/>
      <x:c r="I146" s="2"/>
      <x:c r="J146" s="2"/>
      <x:c r="K146" s="1"/>
      <x:c r="L146" s="1"/>
    </x:row>
    <x:row r="147" ht="21" customHeight="1">
      <x:c r="A147" s="1"/>
      <x:c r="B147" s="1"/>
      <x:c r="C147" s="1"/>
      <x:c r="D147" s="2"/>
      <x:c r="E147" s="2"/>
      <x:c r="F147" s="2"/>
      <x:c r="G147" s="2"/>
      <x:c r="H147" s="2"/>
      <x:c r="I147" s="2"/>
      <x:c r="J147" s="2"/>
      <x:c r="K147" s="1"/>
      <x:c r="L147" s="1"/>
    </x:row>
    <x:row r="148" ht="21" customHeight="1">
      <x:c r="A148" s="1"/>
      <x:c r="B148" s="1"/>
      <x:c r="C148" s="1"/>
      <x:c r="D148" s="2"/>
      <x:c r="E148" s="2"/>
      <x:c r="F148" s="2"/>
      <x:c r="G148" s="2"/>
      <x:c r="H148" s="2"/>
      <x:c r="I148" s="2"/>
      <x:c r="J148" s="2"/>
      <x:c r="K148" s="1"/>
      <x:c r="L148" s="1"/>
    </x:row>
    <x:row r="149" ht="21" customHeight="1">
      <x:c r="A149" s="1"/>
      <x:c r="B149" s="1"/>
      <x:c r="C149" s="1"/>
      <x:c r="D149" s="2"/>
      <x:c r="E149" s="2"/>
      <x:c r="F149" s="2"/>
      <x:c r="G149" s="2"/>
      <x:c r="H149" s="2"/>
      <x:c r="I149" s="2"/>
      <x:c r="J149" s="2"/>
      <x:c r="K149" s="1"/>
      <x:c r="L149" s="1"/>
    </x:row>
    <x:row r="150" ht="21" customHeight="1">
      <x:c r="A150" s="1"/>
      <x:c r="B150" s="1"/>
      <x:c r="C150" s="1"/>
      <x:c r="D150" s="2"/>
      <x:c r="E150" s="2"/>
      <x:c r="F150" s="2"/>
      <x:c r="G150" s="2"/>
      <x:c r="H150" s="2"/>
      <x:c r="I150" s="2"/>
      <x:c r="J150" s="2"/>
      <x:c r="K150" s="1"/>
      <x:c r="L150" s="1"/>
    </x:row>
    <x:row r="151" ht="21" customHeight="1">
      <x:c r="A151" s="1"/>
      <x:c r="B151" s="1"/>
      <x:c r="C151" s="1"/>
      <x:c r="D151" s="2"/>
      <x:c r="E151" s="2"/>
      <x:c r="F151" s="2"/>
      <x:c r="G151" s="2"/>
      <x:c r="H151" s="2"/>
      <x:c r="I151" s="2"/>
      <x:c r="J151" s="2"/>
      <x:c r="K151" s="1"/>
      <x:c r="L151" s="1"/>
    </x:row>
    <x:row r="152" ht="21" customHeight="1">
      <x:c r="A152" s="1"/>
      <x:c r="B152" s="1"/>
      <x:c r="C152" s="1"/>
      <x:c r="D152" s="2"/>
      <x:c r="E152" s="2"/>
      <x:c r="F152" s="2"/>
      <x:c r="G152" s="2"/>
      <x:c r="H152" s="2"/>
      <x:c r="I152" s="2"/>
      <x:c r="J152" s="2"/>
      <x:c r="K152" s="1"/>
      <x:c r="L152" s="1"/>
    </x:row>
    <x:row r="153" ht="21" customHeight="1">
      <x:c r="A153" s="1"/>
      <x:c r="B153" s="1"/>
      <x:c r="C153" s="1"/>
      <x:c r="D153" s="2"/>
      <x:c r="E153" s="2"/>
      <x:c r="F153" s="2"/>
      <x:c r="G153" s="2"/>
      <x:c r="H153" s="2"/>
      <x:c r="I153" s="2"/>
      <x:c r="J153" s="2"/>
      <x:c r="K153" s="1"/>
      <x:c r="L153" s="1"/>
    </x:row>
    <x:row r="154" ht="21" customHeight="1">
      <x:c r="A154" s="1"/>
      <x:c r="B154" s="1"/>
      <x:c r="C154" s="1"/>
      <x:c r="D154" s="2"/>
      <x:c r="E154" s="2"/>
      <x:c r="F154" s="2"/>
      <x:c r="G154" s="2"/>
      <x:c r="H154" s="2"/>
      <x:c r="I154" s="2"/>
      <x:c r="J154" s="2"/>
      <x:c r="K154" s="1"/>
      <x:c r="L154" s="1"/>
    </x:row>
    <x:row r="155" ht="21" customHeight="1">
      <x:c r="A155" s="1"/>
      <x:c r="B155" s="1"/>
      <x:c r="C155" s="1"/>
      <x:c r="D155" s="2"/>
      <x:c r="E155" s="2"/>
      <x:c r="F155" s="2"/>
      <x:c r="G155" s="2"/>
      <x:c r="H155" s="2"/>
      <x:c r="I155" s="2"/>
      <x:c r="J155" s="2"/>
      <x:c r="K155" s="1"/>
      <x:c r="L155" s="1"/>
    </x:row>
    <x:row r="156" ht="21" customHeight="1">
      <x:c r="A156" s="1"/>
      <x:c r="B156" s="1"/>
      <x:c r="C156" s="1"/>
      <x:c r="D156" s="2"/>
      <x:c r="E156" s="2"/>
      <x:c r="F156" s="2"/>
      <x:c r="G156" s="2"/>
      <x:c r="H156" s="2"/>
      <x:c r="I156" s="2"/>
      <x:c r="J156" s="2"/>
      <x:c r="K156" s="1"/>
      <x:c r="L156" s="1"/>
    </x:row>
    <x:row r="157" ht="21" customHeight="1">
      <x:c r="A157" s="1"/>
      <x:c r="B157" s="1"/>
      <x:c r="C157" s="1"/>
      <x:c r="D157" s="2"/>
      <x:c r="E157" s="2"/>
      <x:c r="F157" s="2"/>
      <x:c r="G157" s="2"/>
      <x:c r="H157" s="2"/>
      <x:c r="I157" s="2"/>
      <x:c r="J157" s="2"/>
      <x:c r="K157" s="1"/>
      <x:c r="L157" s="1"/>
    </x:row>
    <x:row r="158" ht="21" customHeight="1">
      <x:c r="A158" s="1"/>
      <x:c r="B158" s="1"/>
      <x:c r="C158" s="1"/>
      <x:c r="D158" s="2"/>
      <x:c r="E158" s="2"/>
      <x:c r="F158" s="2"/>
      <x:c r="G158" s="2"/>
      <x:c r="H158" s="2"/>
      <x:c r="I158" s="2"/>
      <x:c r="J158" s="2"/>
      <x:c r="K158" s="1"/>
      <x:c r="L158" s="1"/>
    </x:row>
    <x:row r="159" ht="21" customHeight="1">
      <x:c r="A159" s="1"/>
      <x:c r="B159" s="1"/>
      <x:c r="C159" s="1"/>
      <x:c r="D159" s="2"/>
      <x:c r="E159" s="2"/>
      <x:c r="F159" s="2"/>
      <x:c r="G159" s="2"/>
      <x:c r="H159" s="2"/>
      <x:c r="I159" s="2"/>
      <x:c r="J159" s="2"/>
      <x:c r="K159" s="1"/>
      <x:c r="L159" s="1"/>
    </x:row>
    <x:row r="160" ht="21" customHeight="1">
      <x:c r="A160" s="1"/>
      <x:c r="B160" s="1"/>
      <x:c r="C160" s="1"/>
      <x:c r="D160" s="2"/>
      <x:c r="E160" s="2"/>
      <x:c r="F160" s="2"/>
      <x:c r="G160" s="2"/>
      <x:c r="H160" s="2"/>
      <x:c r="I160" s="2"/>
      <x:c r="J160" s="2"/>
      <x:c r="K160" s="1"/>
      <x:c r="L160" s="1"/>
    </x:row>
    <x:row r="161" ht="21" customHeight="1">
      <x:c r="A161" s="1"/>
      <x:c r="B161" s="1"/>
      <x:c r="C161" s="1"/>
      <x:c r="D161" s="2"/>
      <x:c r="E161" s="2"/>
      <x:c r="F161" s="2"/>
      <x:c r="G161" s="2"/>
      <x:c r="H161" s="2"/>
      <x:c r="I161" s="2"/>
      <x:c r="J161" s="2"/>
      <x:c r="K161" s="1"/>
      <x:c r="L161" s="1"/>
    </x:row>
    <x:row r="162" ht="21" customHeight="1">
      <x:c r="A162" s="1"/>
      <x:c r="B162" s="1"/>
      <x:c r="C162" s="1"/>
      <x:c r="D162" s="2"/>
      <x:c r="E162" s="2"/>
      <x:c r="F162" s="2"/>
      <x:c r="G162" s="2"/>
      <x:c r="H162" s="2"/>
      <x:c r="I162" s="2"/>
      <x:c r="J162" s="2"/>
      <x:c r="K162" s="1"/>
      <x:c r="L162" s="1"/>
    </x:row>
    <x:row r="163" ht="21" customHeight="1">
      <x:c r="A163" s="1"/>
      <x:c r="B163" s="1"/>
      <x:c r="C163" s="1"/>
      <x:c r="D163" s="2"/>
      <x:c r="E163" s="2"/>
      <x:c r="F163" s="2"/>
      <x:c r="G163" s="2"/>
      <x:c r="H163" s="2"/>
      <x:c r="I163" s="2"/>
      <x:c r="J163" s="2"/>
      <x:c r="K163" s="1"/>
      <x:c r="L163" s="1"/>
    </x:row>
    <x:row r="164" ht="21" customHeight="1">
      <x:c r="A164" s="1"/>
      <x:c r="B164" s="1"/>
      <x:c r="C164" s="1"/>
      <x:c r="D164" s="2"/>
      <x:c r="E164" s="2"/>
      <x:c r="F164" s="2"/>
      <x:c r="G164" s="2"/>
      <x:c r="H164" s="2"/>
      <x:c r="I164" s="2"/>
      <x:c r="J164" s="2"/>
      <x:c r="K164" s="1"/>
      <x:c r="L164" s="1"/>
    </x:row>
    <x:row r="165" ht="21" customHeight="1">
      <x:c r="A165" s="1"/>
      <x:c r="B165" s="1"/>
      <x:c r="C165" s="1"/>
      <x:c r="D165" s="2"/>
      <x:c r="E165" s="2"/>
      <x:c r="F165" s="2"/>
      <x:c r="G165" s="2"/>
      <x:c r="H165" s="2"/>
      <x:c r="I165" s="2"/>
      <x:c r="J165" s="2"/>
      <x:c r="K165" s="1"/>
      <x:c r="L165" s="1"/>
    </x:row>
    <x:row r="166" ht="21" customHeight="1">
      <x:c r="A166" s="1"/>
      <x:c r="B166" s="1"/>
      <x:c r="C166" s="1"/>
      <x:c r="D166" s="2"/>
      <x:c r="E166" s="2"/>
      <x:c r="F166" s="2"/>
      <x:c r="G166" s="2"/>
      <x:c r="H166" s="2"/>
      <x:c r="I166" s="2"/>
      <x:c r="J166" s="2"/>
      <x:c r="K166" s="1"/>
      <x:c r="L166" s="1"/>
    </x:row>
    <x:row r="167" ht="21" customHeight="1">
      <x:c r="A167" s="1"/>
      <x:c r="B167" s="1"/>
      <x:c r="C167" s="1"/>
      <x:c r="D167" s="2"/>
      <x:c r="E167" s="2"/>
      <x:c r="F167" s="2"/>
      <x:c r="G167" s="2"/>
      <x:c r="H167" s="2"/>
      <x:c r="I167" s="2"/>
      <x:c r="J167" s="2"/>
      <x:c r="K167" s="1"/>
      <x:c r="L167" s="1"/>
    </x:row>
    <x:row r="168" ht="21" customHeight="1">
      <x:c r="A168" s="1"/>
      <x:c r="B168" s="1"/>
      <x:c r="C168" s="1"/>
      <x:c r="D168" s="2"/>
      <x:c r="E168" s="2"/>
      <x:c r="F168" s="2"/>
      <x:c r="G168" s="2"/>
      <x:c r="H168" s="2"/>
      <x:c r="I168" s="2"/>
      <x:c r="J168" s="2"/>
      <x:c r="K168" s="1"/>
      <x:c r="L168" s="1"/>
    </x:row>
    <x:row r="169" ht="21" customHeight="1">
      <x:c r="A169" s="1"/>
      <x:c r="B169" s="1"/>
      <x:c r="C169" s="1"/>
      <x:c r="D169" s="2"/>
      <x:c r="E169" s="2"/>
      <x:c r="F169" s="2"/>
      <x:c r="G169" s="2"/>
      <x:c r="H169" s="2"/>
      <x:c r="I169" s="2"/>
      <x:c r="J169" s="2"/>
      <x:c r="K169" s="1"/>
      <x:c r="L169" s="1"/>
    </x:row>
    <x:row r="170" ht="21" customHeight="1">
      <x:c r="A170" s="1"/>
      <x:c r="B170" s="1"/>
      <x:c r="C170" s="1"/>
      <x:c r="D170" s="2"/>
      <x:c r="E170" s="2"/>
      <x:c r="F170" s="2"/>
      <x:c r="G170" s="2"/>
      <x:c r="H170" s="2"/>
      <x:c r="I170" s="2"/>
      <x:c r="J170" s="2"/>
      <x:c r="K170" s="1"/>
      <x:c r="L170" s="1"/>
    </x:row>
    <x:row r="171" ht="21" customHeight="1">
      <x:c r="A171" s="1"/>
      <x:c r="B171" s="1"/>
      <x:c r="C171" s="1"/>
      <x:c r="D171" s="2"/>
      <x:c r="E171" s="2"/>
      <x:c r="F171" s="2"/>
      <x:c r="G171" s="2"/>
      <x:c r="H171" s="2"/>
      <x:c r="I171" s="2"/>
      <x:c r="J171" s="2"/>
      <x:c r="K171" s="1"/>
      <x:c r="L171" s="1"/>
    </x:row>
    <x:row r="172" ht="21" customHeight="1">
      <x:c r="A172" s="1"/>
      <x:c r="B172" s="1"/>
      <x:c r="C172" s="1"/>
      <x:c r="D172" s="2"/>
      <x:c r="E172" s="2"/>
      <x:c r="F172" s="2"/>
      <x:c r="G172" s="2"/>
      <x:c r="H172" s="2"/>
      <x:c r="I172" s="2"/>
      <x:c r="J172" s="2"/>
      <x:c r="K172" s="1"/>
      <x:c r="L172" s="1"/>
    </x:row>
    <x:row r="173" ht="21" customHeight="1">
      <x:c r="A173" s="1"/>
      <x:c r="B173" s="1"/>
      <x:c r="C173" s="1"/>
      <x:c r="D173" s="2"/>
      <x:c r="E173" s="2"/>
      <x:c r="F173" s="2"/>
      <x:c r="G173" s="2"/>
      <x:c r="H173" s="2"/>
      <x:c r="I173" s="2"/>
      <x:c r="J173" s="2"/>
      <x:c r="K173" s="1"/>
      <x:c r="L173" s="1"/>
    </x:row>
    <x:row r="174" ht="21" customHeight="1">
      <x:c r="A174" s="1"/>
      <x:c r="B174" s="1"/>
      <x:c r="C174" s="1"/>
      <x:c r="D174" s="2"/>
      <x:c r="E174" s="2"/>
      <x:c r="F174" s="2"/>
      <x:c r="G174" s="2"/>
      <x:c r="H174" s="2"/>
      <x:c r="I174" s="2"/>
      <x:c r="J174" s="2"/>
      <x:c r="K174" s="1"/>
      <x:c r="L174" s="1"/>
    </x:row>
    <x:row r="175" ht="21" customHeight="1">
      <x:c r="A175" s="1"/>
      <x:c r="B175" s="1"/>
      <x:c r="C175" s="1"/>
      <x:c r="D175" s="2"/>
      <x:c r="E175" s="2"/>
      <x:c r="F175" s="2"/>
      <x:c r="G175" s="2"/>
      <x:c r="H175" s="2"/>
      <x:c r="I175" s="2"/>
      <x:c r="J175" s="2"/>
      <x:c r="K175" s="1"/>
      <x:c r="L175" s="1"/>
    </x:row>
    <x:row r="176" ht="21" customHeight="1">
      <x:c r="A176" s="1"/>
      <x:c r="B176" s="1"/>
      <x:c r="C176" s="1"/>
      <x:c r="D176" s="2"/>
      <x:c r="E176" s="2"/>
      <x:c r="F176" s="2"/>
      <x:c r="G176" s="2"/>
      <x:c r="H176" s="2"/>
      <x:c r="I176" s="2"/>
      <x:c r="J176" s="2"/>
      <x:c r="K176" s="1"/>
      <x:c r="L176" s="1"/>
    </x:row>
    <x:row r="177" ht="21" customHeight="1">
      <x:c r="A177" s="1"/>
      <x:c r="B177" s="1"/>
      <x:c r="C177" s="1"/>
      <x:c r="D177" s="2"/>
      <x:c r="E177" s="2"/>
      <x:c r="F177" s="2"/>
      <x:c r="G177" s="2"/>
      <x:c r="H177" s="2"/>
      <x:c r="I177" s="2"/>
      <x:c r="J177" s="2"/>
      <x:c r="K177" s="1"/>
      <x:c r="L177" s="1"/>
    </x:row>
    <x:row r="178" ht="21" customHeight="1">
      <x:c r="A178" s="1"/>
      <x:c r="B178" s="1"/>
      <x:c r="C178" s="1"/>
      <x:c r="D178" s="2"/>
      <x:c r="E178" s="2"/>
      <x:c r="F178" s="2"/>
      <x:c r="G178" s="2"/>
      <x:c r="H178" s="2"/>
      <x:c r="I178" s="2"/>
      <x:c r="J178" s="2"/>
      <x:c r="K178" s="1"/>
      <x:c r="L178" s="1"/>
    </x:row>
    <x:row r="179" ht="21" customHeight="1">
      <x:c r="A179" s="1"/>
      <x:c r="B179" s="1"/>
      <x:c r="C179" s="1"/>
      <x:c r="D179" s="2"/>
      <x:c r="E179" s="2"/>
      <x:c r="F179" s="2"/>
      <x:c r="G179" s="2"/>
      <x:c r="H179" s="2"/>
      <x:c r="I179" s="2"/>
      <x:c r="J179" s="2"/>
      <x:c r="K179" s="1"/>
      <x:c r="L179" s="1"/>
    </x:row>
    <x:row r="180" ht="21" customHeight="1">
      <x:c r="A180" s="1"/>
      <x:c r="B180" s="1"/>
      <x:c r="C180" s="1"/>
      <x:c r="D180" s="2"/>
      <x:c r="E180" s="2"/>
      <x:c r="F180" s="2"/>
      <x:c r="G180" s="2"/>
      <x:c r="H180" s="2"/>
      <x:c r="I180" s="2"/>
      <x:c r="J180" s="2"/>
      <x:c r="K180" s="1"/>
      <x:c r="L180" s="1"/>
    </x:row>
    <x:row r="181" ht="21" customHeight="1">
      <x:c r="A181" s="1"/>
      <x:c r="B181" s="1"/>
      <x:c r="C181" s="1"/>
      <x:c r="D181" s="2"/>
      <x:c r="E181" s="2"/>
      <x:c r="F181" s="2"/>
      <x:c r="G181" s="2"/>
      <x:c r="H181" s="2"/>
      <x:c r="I181" s="2"/>
      <x:c r="J181" s="2"/>
      <x:c r="K181" s="1"/>
      <x:c r="L181" s="1"/>
    </x:row>
    <x:row r="182" ht="21" customHeight="1">
      <x:c r="A182" s="1"/>
      <x:c r="B182" s="1"/>
      <x:c r="C182" s="1"/>
      <x:c r="D182" s="2"/>
      <x:c r="E182" s="2"/>
      <x:c r="F182" s="2"/>
      <x:c r="G182" s="2"/>
      <x:c r="H182" s="2"/>
      <x:c r="I182" s="2"/>
      <x:c r="J182" s="2"/>
      <x:c r="K182" s="1"/>
      <x:c r="L182" s="1"/>
    </x:row>
    <x:row r="183" ht="21" customHeight="1">
      <x:c r="A183" s="1"/>
      <x:c r="B183" s="1"/>
      <x:c r="C183" s="1"/>
      <x:c r="D183" s="2"/>
      <x:c r="E183" s="2"/>
      <x:c r="F183" s="2"/>
      <x:c r="G183" s="2"/>
      <x:c r="H183" s="2"/>
      <x:c r="I183" s="2"/>
      <x:c r="J183" s="2"/>
      <x:c r="K183" s="1"/>
      <x:c r="L183" s="1"/>
    </x:row>
    <x:row r="184" ht="21" customHeight="1">
      <x:c r="A184" s="1"/>
      <x:c r="B184" s="1"/>
      <x:c r="C184" s="1"/>
      <x:c r="D184" s="2"/>
      <x:c r="E184" s="2"/>
      <x:c r="F184" s="2"/>
      <x:c r="G184" s="2"/>
      <x:c r="H184" s="2"/>
      <x:c r="I184" s="2"/>
      <x:c r="J184" s="2"/>
      <x:c r="K184" s="1"/>
      <x:c r="L184" s="1"/>
    </x:row>
    <x:row r="185" ht="21" customHeight="1">
      <x:c r="A185" s="1"/>
      <x:c r="B185" s="1"/>
      <x:c r="C185" s="1"/>
      <x:c r="D185" s="2"/>
      <x:c r="E185" s="2"/>
      <x:c r="F185" s="2"/>
      <x:c r="G185" s="2"/>
      <x:c r="H185" s="2"/>
      <x:c r="I185" s="2"/>
      <x:c r="J185" s="2"/>
      <x:c r="K185" s="1"/>
      <x:c r="L185" s="1"/>
    </x:row>
    <x:row r="186" ht="21" customHeight="1">
      <x:c r="A186" s="1"/>
      <x:c r="B186" s="1"/>
      <x:c r="C186" s="1"/>
      <x:c r="D186" s="2"/>
      <x:c r="E186" s="2"/>
      <x:c r="F186" s="2"/>
      <x:c r="G186" s="2"/>
      <x:c r="H186" s="2"/>
      <x:c r="I186" s="2"/>
      <x:c r="J186" s="2"/>
      <x:c r="K186" s="1"/>
      <x:c r="L186" s="1"/>
    </x:row>
    <x:row r="187" ht="21" customHeight="1">
      <x:c r="A187" s="1"/>
      <x:c r="B187" s="1"/>
      <x:c r="C187" s="1"/>
      <x:c r="D187" s="2"/>
      <x:c r="E187" s="2"/>
      <x:c r="F187" s="2"/>
      <x:c r="G187" s="2"/>
      <x:c r="H187" s="2"/>
      <x:c r="I187" s="2"/>
      <x:c r="J187" s="2"/>
      <x:c r="K187" s="1"/>
      <x:c r="L187" s="1"/>
    </x:row>
    <x:row r="188" ht="21" customHeight="1">
      <x:c r="A188" s="1"/>
      <x:c r="B188" s="1"/>
      <x:c r="C188" s="1"/>
      <x:c r="D188" s="2"/>
      <x:c r="E188" s="2"/>
      <x:c r="F188" s="2"/>
      <x:c r="G188" s="2"/>
      <x:c r="H188" s="2"/>
      <x:c r="I188" s="2"/>
      <x:c r="J188" s="2"/>
      <x:c r="K188" s="1"/>
      <x:c r="L188" s="1"/>
    </x:row>
    <x:row r="189" ht="21" customHeight="1">
      <x:c r="A189" s="1"/>
      <x:c r="B189" s="1"/>
      <x:c r="C189" s="1"/>
      <x:c r="D189" s="2"/>
      <x:c r="E189" s="2"/>
      <x:c r="F189" s="2"/>
      <x:c r="G189" s="2"/>
      <x:c r="H189" s="2"/>
      <x:c r="I189" s="2"/>
      <x:c r="J189" s="2"/>
      <x:c r="K189" s="1"/>
      <x:c r="L189" s="1"/>
    </x:row>
    <x:row r="190" ht="21" customHeight="1">
      <x:c r="A190" s="1"/>
      <x:c r="B190" s="1"/>
      <x:c r="C190" s="1"/>
      <x:c r="D190" s="2"/>
      <x:c r="E190" s="2"/>
      <x:c r="F190" s="2"/>
      <x:c r="G190" s="2"/>
      <x:c r="H190" s="2"/>
      <x:c r="I190" s="2"/>
      <x:c r="J190" s="2"/>
      <x:c r="K190" s="1"/>
      <x:c r="L190" s="1"/>
    </x:row>
    <x:row r="191" ht="21" customHeight="1">
      <x:c r="A191" s="1"/>
      <x:c r="B191" s="1"/>
      <x:c r="C191" s="1"/>
      <x:c r="D191" s="2"/>
      <x:c r="E191" s="2"/>
      <x:c r="F191" s="2"/>
      <x:c r="G191" s="2"/>
      <x:c r="H191" s="2"/>
      <x:c r="I191" s="2"/>
      <x:c r="J191" s="2"/>
      <x:c r="K191" s="1"/>
      <x:c r="L191" s="1"/>
    </x:row>
    <x:row r="192" ht="21" customHeight="1">
      <x:c r="A192" s="1"/>
      <x:c r="B192" s="1"/>
      <x:c r="C192" s="1"/>
      <x:c r="D192" s="2"/>
      <x:c r="E192" s="2"/>
      <x:c r="F192" s="2"/>
      <x:c r="G192" s="2"/>
      <x:c r="H192" s="2"/>
      <x:c r="I192" s="2"/>
      <x:c r="J192" s="2"/>
      <x:c r="K192" s="1"/>
      <x:c r="L192" s="1"/>
    </x:row>
    <x:row r="193" ht="21" customHeight="1">
      <x:c r="A193" s="1"/>
      <x:c r="B193" s="1"/>
      <x:c r="C193" s="1"/>
      <x:c r="D193" s="2"/>
      <x:c r="E193" s="2"/>
      <x:c r="F193" s="2"/>
      <x:c r="G193" s="2"/>
      <x:c r="H193" s="2"/>
      <x:c r="I193" s="2"/>
      <x:c r="J193" s="2"/>
      <x:c r="K193" s="1"/>
      <x:c r="L193" s="1"/>
    </x:row>
    <x:row r="194" ht="21" customHeight="1">
      <x:c r="A194" s="1"/>
      <x:c r="B194" s="1"/>
      <x:c r="C194" s="1"/>
      <x:c r="D194" s="2"/>
      <x:c r="E194" s="2"/>
      <x:c r="F194" s="2"/>
      <x:c r="G194" s="2"/>
      <x:c r="H194" s="2"/>
      <x:c r="I194" s="2"/>
      <x:c r="J194" s="2"/>
      <x:c r="K194" s="1"/>
      <x:c r="L194" s="1"/>
    </x:row>
    <x:row r="195" ht="21" customHeight="1">
      <x:c r="A195" s="1"/>
      <x:c r="B195" s="1"/>
      <x:c r="C195" s="1"/>
      <x:c r="D195" s="2"/>
      <x:c r="E195" s="2"/>
      <x:c r="F195" s="2"/>
      <x:c r="G195" s="2"/>
      <x:c r="H195" s="2"/>
      <x:c r="I195" s="2"/>
      <x:c r="J195" s="2"/>
      <x:c r="K195" s="1"/>
      <x:c r="L195" s="1"/>
    </x:row>
    <x:row r="196" ht="21" customHeight="1">
      <x:c r="A196" s="1"/>
      <x:c r="B196" s="1"/>
      <x:c r="C196" s="1"/>
      <x:c r="D196" s="2"/>
      <x:c r="E196" s="2"/>
      <x:c r="F196" s="2"/>
      <x:c r="G196" s="2"/>
      <x:c r="H196" s="2"/>
      <x:c r="I196" s="2"/>
      <x:c r="J196" s="2"/>
      <x:c r="K196" s="1"/>
      <x:c r="L196" s="1"/>
    </x:row>
    <x:row r="197" ht="21" customHeight="1">
      <x:c r="A197" s="1"/>
      <x:c r="B197" s="1"/>
      <x:c r="C197" s="1"/>
      <x:c r="D197" s="2"/>
      <x:c r="E197" s="2"/>
      <x:c r="F197" s="2"/>
      <x:c r="G197" s="2"/>
      <x:c r="H197" s="2"/>
      <x:c r="I197" s="2"/>
      <x:c r="J197" s="2"/>
      <x:c r="K197" s="1"/>
      <x:c r="L197" s="1"/>
    </x:row>
    <x:row r="198" ht="21" customHeight="1">
      <x:c r="A198" s="1"/>
      <x:c r="B198" s="1"/>
      <x:c r="C198" s="1"/>
      <x:c r="D198" s="2"/>
      <x:c r="E198" s="2"/>
      <x:c r="F198" s="2"/>
      <x:c r="G198" s="2"/>
      <x:c r="H198" s="2"/>
      <x:c r="I198" s="2"/>
      <x:c r="J198" s="2"/>
      <x:c r="K198" s="1"/>
      <x:c r="L198" s="1"/>
    </x:row>
    <x:row r="199" ht="21" customHeight="1">
      <x:c r="A199" s="1"/>
      <x:c r="B199" s="1"/>
      <x:c r="C199" s="1"/>
      <x:c r="D199" s="2"/>
      <x:c r="E199" s="2"/>
      <x:c r="F199" s="2"/>
      <x:c r="G199" s="2"/>
      <x:c r="H199" s="2"/>
      <x:c r="I199" s="2"/>
      <x:c r="J199" s="2"/>
      <x:c r="K199" s="1"/>
      <x:c r="L199" s="1"/>
    </x:row>
    <x:row r="200" ht="21" customHeight="1">
      <x:c r="A200" s="1"/>
      <x:c r="B200" s="1"/>
      <x:c r="C200" s="1"/>
      <x:c r="D200" s="2"/>
      <x:c r="E200" s="2"/>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s>
  <x:pageMargins left="0.7" right="0.7" top="0.75" bottom="0.75" header="0.3" footer="0.3"/>
</x:worksheet>
</file>

<file path=xl/worksheets/sheet8.xml><?xml version="1.0" encoding="utf-8"?>
<x:worksheet xmlns:x="http://schemas.openxmlformats.org/spreadsheetml/2006/main">
  <x:sheetPr>
    <x:tabColor rgb="FF168877"/>
  </x:sheetPr>
  <x:sheetViews>
    <x:sheetView showGridLines="0" workbookViewId="0">
      <x:pane ySplit="5" topLeftCell="A6" activePane="bottomLeft" state="frozen"/>
    </x:sheetView>
  </x:sheetViews>
  <x:sheetFormatPr defaultRowHeight="15"/>
  <x:cols>
    <x:col min="1" max="1" width="3" hidden="0" customWidth="1"/>
    <x:col min="2" max="2" width="3"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1" customHeight="1">
      <x:c r="A1" s="1"/>
      <x:c r="B1" s="1"/>
      <x:c r="C1" s="4" t="str">
        <x:v>VISTA / ReadMe</x:v>
      </x:c>
      <x:c r="D1" s="4"/>
      <x:c r="E1" s="4"/>
      <x:c r="F1" s="4"/>
      <x:c r="G1" s="4"/>
      <x:c r="H1" s="4"/>
      <x:c r="I1" s="4"/>
      <x:c r="J1" s="4"/>
      <x:c r="K1" s="1"/>
      <x:c r="L1" s="1"/>
    </x:row>
    <x:row r="2" ht="21" customHeight="1">
      <x:c r="A2" s="1"/>
      <x:c r="B2" s="1"/>
      <x:c r="C2" s="4"/>
      <x:c r="D2" s="4"/>
      <x:c r="E2" s="4"/>
      <x:c r="F2" s="4"/>
      <x:c r="G2" s="4"/>
      <x:c r="H2" s="4"/>
      <x:c r="I2" s="4"/>
      <x:c r="J2" s="4"/>
      <x:c r="K2" s="1"/>
      <x:c r="L2" s="1"/>
    </x:row>
    <x:row r="3" ht="21" customHeight="1">
      <x:c r="A3" s="1"/>
      <x:c r="B3" s="1"/>
      <x:c r="C3" s="1" t="str">
        <x:v>Selected scenario</x:v>
      </x:c>
      <x:c r="D3" s="6" t="str">
        <x:f>Controls!D4</x:f>
        <x:v>Base</x:v>
      </x:c>
      <x:c r="E3" s="1"/>
      <x:c r="F3" s="1"/>
      <x:c r="G3" s="1"/>
      <x:c r="H3" s="1"/>
      <x:c r="I3" s="1"/>
      <x:c r="J3" s="1"/>
      <x:c r="K3" s="1"/>
      <x:c r="L3" s="1"/>
    </x:row>
    <x:row r="4" ht="27" customHeight="1">
      <x:c r="A4" s="1"/>
      <x:c r="B4" s="1"/>
      <x:c r="C4" s="7" t="str">
        <x:v>Prepared by Ariel Arviano Putra · Student number: 29125401</x:v>
      </x:c>
      <x:c r="D4" s="8"/>
      <x:c r="E4" s="8"/>
      <x:c r="F4" s="8"/>
      <x:c r="G4" s="8"/>
      <x:c r="H4" s="8"/>
      <x:c r="I4" s="8"/>
      <x:c r="J4" s="8"/>
      <x:c r="K4" s="1"/>
      <x:c r="L4" s="1"/>
    </x:row>
    <x:row r="5" ht="21" customHeight="1">
      <x:c r="A5" s="1"/>
      <x:c r="B5" s="1"/>
      <x:c r="C5" s="18" t="str">
        <x:v>All model money is IDR billion. Source values are IDR thousand; divide by 1,000,000. Per-share value = equity bn × 1,000 / shares million.</x:v>
      </x:c>
      <x:c r="D5" s="19"/>
      <x:c r="E5" s="19"/>
      <x:c r="F5" s="19"/>
      <x:c r="G5" s="19"/>
      <x:c r="H5" s="19"/>
      <x:c r="I5" s="19"/>
      <x:c r="J5" s="19"/>
      <x:c r="K5" s="1"/>
      <x:c r="L5" s="1"/>
    </x:row>
    <x:row r="6" ht="21" customHeight="1">
      <x:c r="A6" s="1"/>
      <x:c r="B6" s="1"/>
      <x:c r="C6" s="18"/>
      <x:c r="D6" s="19"/>
      <x:c r="E6" s="19"/>
      <x:c r="F6" s="19"/>
      <x:c r="G6" s="19"/>
      <x:c r="H6" s="19"/>
      <x:c r="I6" s="19"/>
      <x:c r="J6" s="19"/>
      <x:c r="K6" s="1"/>
      <x:c r="L6" s="1"/>
    </x:row>
    <x:row r="7" ht="21" customHeight="1">
      <x:c r="A7" s="1"/>
      <x:c r="B7" s="1"/>
      <x:c r="C7" s="18"/>
      <x:c r="D7" s="19"/>
      <x:c r="E7" s="19"/>
      <x:c r="F7" s="19"/>
      <x:c r="G7" s="19"/>
      <x:c r="H7" s="19"/>
      <x:c r="I7" s="19"/>
      <x:c r="J7" s="19"/>
      <x:c r="K7" s="1"/>
      <x:c r="L7" s="1"/>
    </x:row>
    <x:row r="8" ht="21" customHeight="1">
      <x:c r="A8" s="1"/>
      <x:c r="B8" s="1"/>
      <x:c r="C8" s="18" t="str">
        <x:v>Annualized 9M2026 revenue anchors a rolling five-year forecast. End-year discounting; 19-day financial-position lag is not stub-adjusted. No use of acquisition-inflated reported net income in FCFF.</x:v>
      </x:c>
      <x:c r="D8" s="19"/>
      <x:c r="E8" s="19"/>
      <x:c r="F8" s="19"/>
      <x:c r="G8" s="19"/>
      <x:c r="H8" s="19"/>
      <x:c r="I8" s="19"/>
      <x:c r="J8" s="19"/>
      <x:c r="K8" s="1"/>
      <x:c r="L8" s="1"/>
    </x:row>
    <x:row r="9" ht="21" customHeight="1">
      <x:c r="A9" s="1"/>
      <x:c r="B9" s="1"/>
      <x:c r="C9" s="18"/>
      <x:c r="D9" s="19"/>
      <x:c r="E9" s="19"/>
      <x:c r="F9" s="19"/>
      <x:c r="G9" s="19"/>
      <x:c r="H9" s="19"/>
      <x:c r="I9" s="19"/>
      <x:c r="J9" s="19"/>
      <x:c r="K9" s="1"/>
      <x:c r="L9" s="1"/>
    </x:row>
    <x:row r="10" ht="21" customHeight="1">
      <x:c r="A10" s="1"/>
      <x:c r="B10" s="1"/>
      <x:c r="C10" s="18"/>
      <x:c r="D10" s="19"/>
      <x:c r="E10" s="19"/>
      <x:c r="F10" s="19"/>
      <x:c r="G10" s="19"/>
      <x:c r="H10" s="19"/>
      <x:c r="I10" s="19"/>
      <x:c r="J10" s="19"/>
      <x:c r="K10" s="1"/>
      <x:c r="L10" s="1"/>
    </x:row>
    <x:row r="11" ht="21" customHeight="1">
      <x:c r="A11" s="1"/>
      <x:c r="B11" s="1"/>
      <x:c r="C11" s="18" t="str">
        <x:v>EBIT = revenue − cost of sales − SG&amp;A − final tax. Excludes interest, associates, FX and all other income/losses. EBITDA adds full PPE and separate right-of-use depreciation once.</x:v>
      </x:c>
      <x:c r="D11" s="19"/>
      <x:c r="E11" s="19"/>
      <x:c r="F11" s="19"/>
      <x:c r="G11" s="19"/>
      <x:c r="H11" s="19"/>
      <x:c r="I11" s="19"/>
      <x:c r="J11" s="19"/>
      <x:c r="K11" s="1"/>
      <x:c r="L11" s="1"/>
    </x:row>
    <x:row r="12" ht="21" customHeight="1">
      <x:c r="A12" s="1"/>
      <x:c r="B12" s="1"/>
      <x:c r="C12" s="18"/>
      <x:c r="D12" s="19"/>
      <x:c r="E12" s="19"/>
      <x:c r="F12" s="19"/>
      <x:c r="G12" s="19"/>
      <x:c r="H12" s="19"/>
      <x:c r="I12" s="19"/>
      <x:c r="J12" s="19"/>
      <x:c r="K12" s="1"/>
      <x:c r="L12" s="1"/>
    </x:row>
    <x:row r="13" ht="21" customHeight="1">
      <x:c r="A13" s="1"/>
      <x:c r="B13" s="1"/>
      <x:c r="C13" s="18"/>
      <x:c r="D13" s="19"/>
      <x:c r="E13" s="19"/>
      <x:c r="F13" s="19"/>
      <x:c r="G13" s="19"/>
      <x:c r="H13" s="19"/>
      <x:c r="I13" s="19"/>
      <x:c r="J13" s="19"/>
      <x:c r="K13" s="1"/>
      <x:c r="L13" s="1"/>
    </x:row>
    <x:row r="14" ht="21" customHeight="1">
      <x:c r="A14" s="1"/>
      <x:c r="B14" s="1"/>
      <x:c r="C14" s="18" t="str">
        <x:v>FCFF = EBIT × (1 − normalized tax) + D&amp;A − cash capex − noncash lease capex − change in operating NWC. Lease liabilities are included in debt. Future lease investment is explicitly allowed for.</x:v>
      </x:c>
      <x:c r="D14" s="19"/>
      <x:c r="E14" s="19"/>
      <x:c r="F14" s="19"/>
      <x:c r="G14" s="19"/>
      <x:c r="H14" s="19"/>
      <x:c r="I14" s="19"/>
      <x:c r="J14" s="19"/>
      <x:c r="K14" s="1"/>
      <x:c r="L14" s="1"/>
    </x:row>
    <x:row r="15" ht="21" customHeight="1">
      <x:c r="A15" s="1"/>
      <x:c r="B15" s="1"/>
      <x:c r="C15" s="18"/>
      <x:c r="D15" s="19"/>
      <x:c r="E15" s="19"/>
      <x:c r="F15" s="19"/>
      <x:c r="G15" s="19"/>
      <x:c r="H15" s="19"/>
      <x:c r="I15" s="19"/>
      <x:c r="J15" s="19"/>
      <x:c r="K15" s="1"/>
      <x:c r="L15" s="1"/>
    </x:row>
    <x:row r="16" ht="21" customHeight="1">
      <x:c r="A16" s="1"/>
      <x:c r="B16" s="1"/>
      <x:c r="C16" s="18"/>
      <x:c r="D16" s="19"/>
      <x:c r="E16" s="19"/>
      <x:c r="F16" s="19"/>
      <x:c r="G16" s="19"/>
      <x:c r="H16" s="19"/>
      <x:c r="I16" s="19"/>
      <x:c r="J16" s="19"/>
      <x:c r="K16" s="1"/>
      <x:c r="L16" s="1"/>
    </x:row>
    <x:row r="17" ht="21" customHeight="1">
      <x:c r="A17" s="1"/>
      <x:c r="B17" s="1"/>
      <x:c r="C17" s="18" t="str">
        <x:v>Terminal FCFF = next-year NOPAT × (1 − g / ROIC). Terminal reinvestment includes replacement and growth needs on a net basis. WACC, g and ROIC are assumptions, not observed estimates.</x:v>
      </x:c>
      <x:c r="D17" s="19"/>
      <x:c r="E17" s="19"/>
      <x:c r="F17" s="19"/>
      <x:c r="G17" s="19"/>
      <x:c r="H17" s="19"/>
      <x:c r="I17" s="19"/>
      <x:c r="J17" s="19"/>
      <x:c r="K17" s="1"/>
      <x:c r="L17" s="1"/>
    </x:row>
    <x:row r="18" ht="21" customHeight="1">
      <x:c r="A18" s="1"/>
      <x:c r="B18" s="1"/>
      <x:c r="C18" s="18"/>
      <x:c r="D18" s="19"/>
      <x:c r="E18" s="19"/>
      <x:c r="F18" s="19"/>
      <x:c r="G18" s="19"/>
      <x:c r="H18" s="19"/>
      <x:c r="I18" s="19"/>
      <x:c r="J18" s="19"/>
      <x:c r="K18" s="1"/>
      <x:c r="L18" s="1"/>
    </x:row>
    <x:row r="19" ht="21" customHeight="1">
      <x:c r="A19" s="1"/>
      <x:c r="B19" s="1"/>
      <x:c r="C19" s="18"/>
      <x:c r="D19" s="19"/>
      <x:c r="E19" s="19"/>
      <x:c r="F19" s="19"/>
      <x:c r="G19" s="19"/>
      <x:c r="H19" s="19"/>
      <x:c r="I19" s="19"/>
      <x:c r="J19" s="19"/>
      <x:c r="K19" s="1"/>
      <x:c r="L19" s="1"/>
    </x:row>
    <x:row r="20" ht="21" customHeight="1">
      <x:c r="A20" s="1"/>
      <x:c r="B20" s="1"/>
      <x:c r="C20" s="18" t="str">
        <x:v>Debt includes bank, finance lease, other borrowing (including lease/equipment finance) and related-party debt. Investments and exploration are outside operating cash flow, so added once. Cash is added once. NCI is subtracted.</x:v>
      </x:c>
      <x:c r="D20" s="19"/>
      <x:c r="E20" s="19"/>
      <x:c r="F20" s="19"/>
      <x:c r="G20" s="19"/>
      <x:c r="H20" s="19"/>
      <x:c r="I20" s="19"/>
      <x:c r="J20" s="19"/>
      <x:c r="K20" s="1"/>
      <x:c r="L20" s="1"/>
    </x:row>
    <x:row r="21" ht="21" customHeight="1">
      <x:c r="A21" s="1"/>
      <x:c r="B21" s="1"/>
      <x:c r="C21" s="18"/>
      <x:c r="D21" s="19"/>
      <x:c r="E21" s="19"/>
      <x:c r="F21" s="19"/>
      <x:c r="G21" s="19"/>
      <x:c r="H21" s="19"/>
      <x:c r="I21" s="19"/>
      <x:c r="J21" s="19"/>
      <x:c r="K21" s="1"/>
      <x:c r="L21" s="1"/>
    </x:row>
    <x:row r="22" ht="21" customHeight="1">
      <x:c r="A22" s="1"/>
      <x:c r="B22" s="1"/>
      <x:c r="C22" s="18"/>
      <x:c r="D22" s="19"/>
      <x:c r="E22" s="19"/>
      <x:c r="F22" s="19"/>
      <x:c r="G22" s="19"/>
      <x:c r="H22" s="19"/>
      <x:c r="I22" s="19"/>
      <x:c r="J22" s="19"/>
      <x:c r="K22" s="1"/>
      <x:c r="L22" s="1"/>
    </x:row>
    <x:row r="23" ht="21" customHeight="1">
      <x:c r="A23" s="1"/>
      <x:c r="B23" s="1"/>
      <x:c r="C23" s="18" t="str">
        <x:v>Exploration net asset = (carrying value − acquisition deferred tax) × scenario recovery. This is not a mine NAV. Financial investments receive a separate recovery factor. Remaining liabilities sit in operating NWC or future operating costs.</x:v>
      </x:c>
      <x:c r="D23" s="19"/>
      <x:c r="E23" s="19"/>
      <x:c r="F23" s="19"/>
      <x:c r="G23" s="19"/>
      <x:c r="H23" s="19"/>
      <x:c r="I23" s="19"/>
      <x:c r="J23" s="19"/>
      <x:c r="K23" s="1"/>
      <x:c r="L23" s="1"/>
    </x:row>
    <x:row r="24" ht="21" customHeight="1">
      <x:c r="A24" s="1"/>
      <x:c r="B24" s="1"/>
      <x:c r="C24" s="18"/>
      <x:c r="D24" s="19"/>
      <x:c r="E24" s="19"/>
      <x:c r="F24" s="19"/>
      <x:c r="G24" s="19"/>
      <x:c r="H24" s="19"/>
      <x:c r="I24" s="19"/>
      <x:c r="J24" s="19"/>
      <x:c r="K24" s="1"/>
      <x:c r="L24" s="1"/>
    </x:row>
    <x:row r="25" ht="21" customHeight="1">
      <x:c r="A25" s="1"/>
      <x:c r="B25" s="1"/>
      <x:c r="C25" s="18"/>
      <x:c r="D25" s="19"/>
      <x:c r="E25" s="19"/>
      <x:c r="F25" s="19"/>
      <x:c r="G25" s="19"/>
      <x:c r="H25" s="19"/>
      <x:c r="I25" s="19"/>
      <x:c r="J25" s="19"/>
      <x:c r="K25" s="1"/>
      <x:c r="L25" s="1"/>
    </x:row>
    <x:row r="26" ht="21" customHeight="1">
      <x:c r="A26" s="1"/>
      <x:c r="B26" s="1"/>
      <x:c r="C26" s="18" t="str">
        <x:v>Case selector drives one active forecast. Change Bear / Base / Bull to recalculate all outputs. Native two-input sensitivity uses DCF WACC and g. No hidden parallel case forecasts. The app provides the requested simultaneous comparison.</x:v>
      </x:c>
      <x:c r="D26" s="19"/>
      <x:c r="E26" s="19"/>
      <x:c r="F26" s="19"/>
      <x:c r="G26" s="19"/>
      <x:c r="H26" s="19"/>
      <x:c r="I26" s="19"/>
      <x:c r="J26" s="19"/>
      <x:c r="K26" s="1"/>
      <x:c r="L26" s="1"/>
    </x:row>
    <x:row r="27" ht="21" customHeight="1">
      <x:c r="A27" s="1"/>
      <x:c r="B27" s="1"/>
      <x:c r="C27" s="18"/>
      <x:c r="D27" s="19"/>
      <x:c r="E27" s="19"/>
      <x:c r="F27" s="19"/>
      <x:c r="G27" s="19"/>
      <x:c r="H27" s="19"/>
      <x:c r="I27" s="19"/>
      <x:c r="J27" s="19"/>
      <x:c r="K27" s="1"/>
      <x:c r="L27" s="1"/>
    </x:row>
    <x:row r="28" ht="21" customHeight="1">
      <x:c r="A28" s="1"/>
      <x:c r="B28" s="1"/>
      <x:c r="C28" s="18"/>
      <x:c r="D28" s="19"/>
      <x:c r="E28" s="19"/>
      <x:c r="F28" s="19"/>
      <x:c r="G28" s="19"/>
      <x:c r="H28" s="19"/>
      <x:c r="I28" s="19"/>
      <x:c r="J28" s="19"/>
      <x:c r="K28" s="1"/>
      <x:c r="L28" s="1"/>
    </x:row>
    <x:row r="29" ht="21" customHeight="1">
      <x:c r="A29" s="1"/>
      <x:c r="B29" s="1"/>
      <x:c r="C29" s="18" t="str">
        <x:v>DCF score: 40% source quality, 30% forecast visibility, 30% explicit-period EV share. Relative score: 40% peer quality, 30% coverage (four peers max), 30% 1/(1+CV). Asset score: 50% source quality, 50% asset observability.</x:v>
      </x:c>
      <x:c r="D29" s="19"/>
      <x:c r="E29" s="19"/>
      <x:c r="F29" s="19"/>
      <x:c r="G29" s="19"/>
      <x:c r="H29" s="19"/>
      <x:c r="I29" s="19"/>
      <x:c r="J29" s="19"/>
      <x:c r="K29" s="1"/>
      <x:c r="L29" s="1"/>
    </x:row>
    <x:row r="30" ht="21" customHeight="1">
      <x:c r="A30" s="1"/>
      <x:c r="B30" s="1"/>
      <x:c r="C30" s="18"/>
      <x:c r="D30" s="19"/>
      <x:c r="E30" s="19"/>
      <x:c r="F30" s="19"/>
      <x:c r="G30" s="19"/>
      <x:c r="H30" s="19"/>
      <x:c r="I30" s="19"/>
      <x:c r="J30" s="19"/>
      <x:c r="K30" s="1"/>
      <x:c r="L30" s="1"/>
    </x:row>
    <x:row r="31" ht="21" customHeight="1">
      <x:c r="A31" s="1"/>
      <x:c r="B31" s="1"/>
      <x:c r="C31" s="18"/>
      <x:c r="D31" s="19"/>
      <x:c r="E31" s="19"/>
      <x:c r="F31" s="19"/>
      <x:c r="G31" s="19"/>
      <x:c r="H31" s="19"/>
      <x:c r="I31" s="19"/>
      <x:c r="J31" s="19"/>
      <x:c r="K31" s="1"/>
      <x:c r="L31" s="1"/>
    </x:row>
    <x:row r="32" ht="21" customHeight="1">
      <x:c r="A32" s="1"/>
      <x:c r="B32" s="1"/>
      <x:c r="C32" s="18" t="str">
        <x:v>Blend weights normalize DCF and relative scores only. Market price is excluded from weights. Confidence subtracts up to 20 points for disagreement and 10 for unresolved share/peer data. Below 60 the recommendation is provisional. Thresholds: plus/minus 20%.</x:v>
      </x:c>
      <x:c r="D32" s="19"/>
      <x:c r="E32" s="19"/>
      <x:c r="F32" s="19"/>
      <x:c r="G32" s="19"/>
      <x:c r="H32" s="19"/>
      <x:c r="I32" s="19"/>
      <x:c r="J32" s="19"/>
      <x:c r="K32" s="1"/>
      <x:c r="L32" s="1"/>
    </x:row>
    <x:row r="33" ht="21" customHeight="1">
      <x:c r="A33" s="1"/>
      <x:c r="B33" s="1"/>
      <x:c r="C33" s="18"/>
      <x:c r="D33" s="19"/>
      <x:c r="E33" s="19"/>
      <x:c r="F33" s="19"/>
      <x:c r="G33" s="19"/>
      <x:c r="H33" s="19"/>
      <x:c r="I33" s="19"/>
      <x:c r="J33" s="19"/>
      <x:c r="K33" s="1"/>
      <x:c r="L33" s="1"/>
    </x:row>
    <x:row r="34" ht="21" customHeight="1">
      <x:c r="A34" s="1"/>
      <x:c r="B34" s="1"/>
      <x:c r="C34" s="18"/>
      <x:c r="D34" s="19"/>
      <x:c r="E34" s="19"/>
      <x:c r="F34" s="19"/>
      <x:c r="G34" s="19"/>
      <x:c r="H34" s="19"/>
      <x:c r="I34" s="19"/>
      <x:c r="J34" s="19"/>
      <x:c r="K34" s="1"/>
      <x:c r="L34" s="1"/>
    </x:row>
    <x:row r="35" ht="21" customHeight="1">
      <x:c r="A35" s="1"/>
      <x:c r="B35" s="1"/>
      <x:c r="C35" s="18" t="str">
        <x:v>FY2025 audited report restates FY2024 and opening FY2024. 2026 interim reports reclassify opening FY2025 equity without changing total equity. Source pages use physical PDF numbers. Corrected Q2 is authoritative for six-month history.</x:v>
      </x:c>
      <x:c r="D35" s="19"/>
      <x:c r="E35" s="19"/>
      <x:c r="F35" s="19"/>
      <x:c r="G35" s="19"/>
      <x:c r="H35" s="19"/>
      <x:c r="I35" s="19"/>
      <x:c r="J35" s="19"/>
      <x:c r="K35" s="1"/>
      <x:c r="L35" s="1"/>
    </x:row>
    <x:row r="36" ht="21" customHeight="1">
      <x:c r="A36" s="1"/>
      <x:c r="B36" s="1"/>
      <x:c r="C36" s="18"/>
      <x:c r="D36" s="19"/>
      <x:c r="E36" s="19"/>
      <x:c r="F36" s="19"/>
      <x:c r="G36" s="19"/>
      <x:c r="H36" s="19"/>
      <x:c r="I36" s="19"/>
      <x:c r="J36" s="19"/>
      <x:c r="K36" s="1"/>
      <x:c r="L36" s="1"/>
    </x:row>
    <x:row r="37" ht="21" customHeight="1">
      <x:c r="A37" s="1"/>
      <x:c r="B37" s="1"/>
      <x:c r="C37" s="18"/>
      <x:c r="D37" s="19"/>
      <x:c r="E37" s="19"/>
      <x:c r="F37" s="19"/>
      <x:c r="G37" s="19"/>
      <x:c r="H37" s="19"/>
      <x:c r="I37" s="19"/>
      <x:c r="J37" s="19"/>
      <x:c r="K37" s="1"/>
      <x:c r="L37" s="1"/>
    </x:row>
    <x:row r="38" ht="21" customHeight="1">
      <x:c r="A38" s="1"/>
      <x:c r="B38" s="1"/>
      <x:c r="C38" s="18" t="str">
        <x:v>Share count uses KSEI issued securities including treasury, deliberately conservative. Obtain exact net treasury-adjusted and diluted counts before relying on per-share results. This is not the reported EPS denominator.</x:v>
      </x:c>
      <x:c r="D38" s="19"/>
      <x:c r="E38" s="19"/>
      <x:c r="F38" s="19"/>
      <x:c r="G38" s="19"/>
      <x:c r="H38" s="19"/>
      <x:c r="I38" s="19"/>
      <x:c r="J38" s="19"/>
      <x:c r="K38" s="1"/>
      <x:c r="L38" s="1"/>
    </x:row>
    <x:row r="39" ht="21" customHeight="1">
      <x:c r="A39" s="1"/>
      <x:c r="B39" s="1"/>
      <x:c r="C39" s="18"/>
      <x:c r="D39" s="19"/>
      <x:c r="E39" s="19"/>
      <x:c r="F39" s="19"/>
      <x:c r="G39" s="19"/>
      <x:c r="H39" s="19"/>
      <x:c r="I39" s="19"/>
      <x:c r="J39" s="19"/>
      <x:c r="K39" s="1"/>
      <x:c r="L39" s="1"/>
    </x:row>
    <x:row r="40" ht="21" customHeight="1">
      <x:c r="A40" s="1"/>
      <x:c r="B40" s="1"/>
      <x:c r="C40" s="18"/>
      <x:c r="D40" s="19"/>
      <x:c r="E40" s="19"/>
      <x:c r="F40" s="19"/>
      <x:c r="G40" s="19"/>
      <x:c r="H40" s="19"/>
      <x:c r="I40" s="19"/>
      <x:c r="J40" s="19"/>
      <x:c r="K40" s="1"/>
      <x:c r="L40" s="1"/>
    </x:row>
    <x:row r="41" ht="21" customHeight="1">
      <x:c r="A41" s="1"/>
      <x:c r="B41" s="1"/>
      <x:c r="C41" s="18" t="str">
        <x:v>Illustrative academic valuation, not an independently verified transaction valuation. Forecasts, WACC and asset recoveries are analyst assumptions.</x:v>
      </x:c>
      <x:c r="D41" s="19"/>
      <x:c r="E41" s="19"/>
      <x:c r="F41" s="19"/>
      <x:c r="G41" s="19"/>
      <x:c r="H41" s="19"/>
      <x:c r="I41" s="19"/>
      <x:c r="J41" s="19"/>
      <x:c r="K41" s="1"/>
      <x:c r="L41" s="1"/>
    </x:row>
    <x:row r="42" ht="21" customHeight="1">
      <x:c r="A42" s="1"/>
      <x:c r="B42" s="1"/>
      <x:c r="C42" s="18"/>
      <x:c r="D42" s="19"/>
      <x:c r="E42" s="19"/>
      <x:c r="F42" s="19"/>
      <x:c r="G42" s="19"/>
      <x:c r="H42" s="19"/>
      <x:c r="I42" s="19"/>
      <x:c r="J42" s="19"/>
      <x:c r="K42" s="1"/>
      <x:c r="L42" s="1"/>
    </x:row>
    <x:row r="43" ht="21" customHeight="1">
      <x:c r="A43" s="1"/>
      <x:c r="B43" s="1"/>
      <x:c r="C43" s="18"/>
      <x:c r="D43" s="19"/>
      <x:c r="E43" s="19"/>
      <x:c r="F43" s="19"/>
      <x:c r="G43" s="19"/>
      <x:c r="H43" s="19"/>
      <x:c r="I43" s="19"/>
      <x:c r="J43" s="19"/>
      <x:c r="K43" s="1"/>
      <x:c r="L43" s="1"/>
    </x:row>
    <x:row r="44" ht="21" customHeight="1">
      <x:c r="A44" s="1"/>
      <x:c r="B44" s="1"/>
      <x:c r="C44" s="18" t="str">
        <x:v>Valuation date is 19 October 2026. Balance sheet is 30 September 2026; no stub cash-flow adjustment for the 19-day lag.</x:v>
      </x:c>
      <x:c r="D44" s="19"/>
      <x:c r="E44" s="19"/>
      <x:c r="F44" s="19"/>
      <x:c r="G44" s="19"/>
      <x:c r="H44" s="19"/>
      <x:c r="I44" s="19"/>
      <x:c r="J44" s="19"/>
      <x:c r="K44" s="1"/>
      <x:c r="L44" s="1"/>
    </x:row>
    <x:row r="45" ht="21" customHeight="1">
      <x:c r="A45" s="1"/>
      <x:c r="B45" s="1"/>
      <x:c r="C45" s="18"/>
      <x:c r="D45" s="19"/>
      <x:c r="E45" s="19"/>
      <x:c r="F45" s="19"/>
      <x:c r="G45" s="19"/>
      <x:c r="H45" s="19"/>
      <x:c r="I45" s="19"/>
      <x:c r="J45" s="19"/>
      <x:c r="K45" s="1"/>
      <x:c r="L45" s="1"/>
    </x:row>
    <x:row r="46" ht="21" customHeight="1">
      <x:c r="A46" s="1"/>
      <x:c r="B46" s="1"/>
      <x:c r="C46" s="18"/>
      <x:c r="D46" s="19"/>
      <x:c r="E46" s="19"/>
      <x:c r="F46" s="19"/>
      <x:c r="G46" s="19"/>
      <x:c r="H46" s="19"/>
      <x:c r="I46" s="19"/>
      <x:c r="J46" s="19"/>
      <x:c r="K46" s="1"/>
      <x:c r="L46" s="1"/>
    </x:row>
    <x:row r="47" ht="21" customHeight="1">
      <x:c r="A47" s="1"/>
      <x:c r="B47" s="1"/>
      <x:c r="C47" s="18" t="str">
        <x:v>Interims are unaudited. Corrected Q2 is used. Q1 and Q2 comparison periods may not incorporate all later classifications.</x:v>
      </x:c>
      <x:c r="D47" s="19"/>
      <x:c r="E47" s="19"/>
      <x:c r="F47" s="19"/>
      <x:c r="G47" s="19"/>
      <x:c r="H47" s="19"/>
      <x:c r="I47" s="19"/>
      <x:c r="J47" s="19"/>
      <x:c r="K47" s="1"/>
      <x:c r="L47" s="1"/>
    </x:row>
    <x:row r="48" ht="21" customHeight="1">
      <x:c r="A48" s="1"/>
      <x:c r="B48" s="1"/>
      <x:c r="C48" s="18"/>
      <x:c r="D48" s="19"/>
      <x:c r="E48" s="19"/>
      <x:c r="F48" s="19"/>
      <x:c r="G48" s="19"/>
      <x:c r="H48" s="19"/>
      <x:c r="I48" s="19"/>
      <x:c r="J48" s="19"/>
      <x:c r="K48" s="1"/>
      <x:c r="L48" s="1"/>
    </x:row>
    <x:row r="49" ht="21" customHeight="1">
      <x:c r="A49" s="1"/>
      <x:c r="B49" s="1"/>
      <x:c r="C49" s="18"/>
      <x:c r="D49" s="19"/>
      <x:c r="E49" s="19"/>
      <x:c r="F49" s="19"/>
      <x:c r="G49" s="19"/>
      <x:c r="H49" s="19"/>
      <x:c r="I49" s="19"/>
      <x:c r="J49" s="19"/>
      <x:c r="K49" s="1"/>
      <x:c r="L49" s="1"/>
    </x:row>
    <x:row r="50" ht="21" customHeight="1">
      <x:c r="A50" s="1"/>
      <x:c r="B50" s="1"/>
      <x:c r="C50" s="18" t="str">
        <x:v>Issued shares include treasury shares. A verified net share count and potential dilution schedule remain outstanding.</x:v>
      </x:c>
      <x:c r="D50" s="19"/>
      <x:c r="E50" s="19"/>
      <x:c r="F50" s="19"/>
      <x:c r="G50" s="19"/>
      <x:c r="H50" s="19"/>
      <x:c r="I50" s="19"/>
      <x:c r="J50" s="19"/>
      <x:c r="K50" s="1"/>
      <x:c r="L50" s="1"/>
    </x:row>
    <x:row r="51" ht="21" customHeight="1">
      <x:c r="A51" s="1"/>
      <x:c r="B51" s="1"/>
      <x:c r="C51" s="18"/>
      <x:c r="D51" s="19"/>
      <x:c r="E51" s="19"/>
      <x:c r="F51" s="19"/>
      <x:c r="G51" s="19"/>
      <x:c r="H51" s="19"/>
      <x:c r="I51" s="19"/>
      <x:c r="J51" s="19"/>
      <x:c r="K51" s="1"/>
      <x:c r="L51" s="1"/>
    </x:row>
    <x:row r="52" ht="21" customHeight="1">
      <x:c r="A52" s="1"/>
      <x:c r="B52" s="1"/>
      <x:c r="C52" s="18"/>
      <x:c r="D52" s="19"/>
      <x:c r="E52" s="19"/>
      <x:c r="F52" s="19"/>
      <x:c r="G52" s="19"/>
      <x:c r="H52" s="19"/>
      <x:c r="I52" s="19"/>
      <x:c r="J52" s="19"/>
      <x:c r="K52" s="1"/>
      <x:c r="L52" s="1"/>
    </x:row>
    <x:row r="53" ht="21" customHeight="1">
      <x:c r="A53" s="1"/>
      <x:c r="B53" s="1"/>
      <x:c r="C53" s="18" t="str">
        <x:v>Peer multiples are secondary-vendor Current/TTM snapshots, rounded and not fully harmonized for leases, periods or nonrecurring items. UNTR snapshot is a day later and excluded by default.</x:v>
      </x:c>
      <x:c r="D53" s="19"/>
      <x:c r="E53" s="19"/>
      <x:c r="F53" s="19"/>
      <x:c r="G53" s="19"/>
      <x:c r="H53" s="19"/>
      <x:c r="I53" s="19"/>
      <x:c r="J53" s="19"/>
      <x:c r="K53" s="1"/>
      <x:c r="L53" s="1"/>
    </x:row>
    <x:row r="54" ht="21" customHeight="1">
      <x:c r="A54" s="1"/>
      <x:c r="B54" s="1"/>
      <x:c r="C54" s="18"/>
      <x:c r="D54" s="19"/>
      <x:c r="E54" s="19"/>
      <x:c r="F54" s="19"/>
      <x:c r="G54" s="19"/>
      <x:c r="H54" s="19"/>
      <x:c r="I54" s="19"/>
      <x:c r="J54" s="19"/>
      <x:c r="K54" s="1"/>
      <x:c r="L54" s="1"/>
    </x:row>
    <x:row r="55" ht="21" customHeight="1">
      <x:c r="A55" s="1"/>
      <x:c r="B55" s="1"/>
      <x:c r="C55" s="18"/>
      <x:c r="D55" s="19"/>
      <x:c r="E55" s="19"/>
      <x:c r="F55" s="19"/>
      <x:c r="G55" s="19"/>
      <x:c r="H55" s="19"/>
      <x:c r="I55" s="19"/>
      <x:c r="J55" s="19"/>
      <x:c r="K55" s="1"/>
      <x:c r="L55" s="1"/>
    </x:row>
    <x:row r="56" ht="21" customHeight="1">
      <x:c r="A56" s="1"/>
      <x:c r="B56" s="1"/>
      <x:c r="C56" s="18" t="str">
        <x:v>Exploration value is a recovery scenario of carrying value less acquisition deferred tax, not a reserve-based NAV. No production plan, reserve audit or project development capex is available.</x:v>
      </x:c>
      <x:c r="D56" s="19"/>
      <x:c r="E56" s="19"/>
      <x:c r="F56" s="19"/>
      <x:c r="G56" s="19"/>
      <x:c r="H56" s="19"/>
      <x:c r="I56" s="19"/>
      <x:c r="J56" s="19"/>
      <x:c r="K56" s="1"/>
      <x:c r="L56" s="1"/>
    </x:row>
    <x:row r="57" ht="21" customHeight="1">
      <x:c r="A57" s="1"/>
      <x:c r="B57" s="1"/>
      <x:c r="C57" s="18"/>
      <x:c r="D57" s="19"/>
      <x:c r="E57" s="19"/>
      <x:c r="F57" s="19"/>
      <x:c r="G57" s="19"/>
      <x:c r="H57" s="19"/>
      <x:c r="I57" s="19"/>
      <x:c r="J57" s="19"/>
      <x:c r="K57" s="1"/>
      <x:c r="L57" s="1"/>
    </x:row>
    <x:row r="58" ht="21" customHeight="1">
      <x:c r="A58" s="1"/>
      <x:c r="B58" s="1"/>
      <x:c r="C58" s="18"/>
      <x:c r="D58" s="19"/>
      <x:c r="E58" s="19"/>
      <x:c r="F58" s="19"/>
      <x:c r="G58" s="19"/>
      <x:c r="H58" s="19"/>
      <x:c r="I58" s="19"/>
      <x:c r="J58" s="19"/>
      <x:c r="K58" s="1"/>
      <x:c r="L58" s="1"/>
    </x:row>
    <x:row r="59" ht="21" customHeight="1">
      <x:c r="A59" s="1"/>
      <x:c r="B59" s="1"/>
      <x:c r="C59" s="18" t="str">
        <x:v>Other borrowings include lease/equipment finance. All are treated as debt-like conservatively. Noncash lease capex is an explicit forecast allowance.</x:v>
      </x:c>
      <x:c r="D59" s="19"/>
      <x:c r="E59" s="19"/>
      <x:c r="F59" s="19"/>
      <x:c r="G59" s="19"/>
      <x:c r="H59" s="19"/>
      <x:c r="I59" s="19"/>
      <x:c r="J59" s="19"/>
      <x:c r="K59" s="1"/>
      <x:c r="L59" s="1"/>
    </x:row>
    <x:row r="60" ht="21" customHeight="1">
      <x:c r="A60" s="1"/>
      <x:c r="B60" s="1"/>
      <x:c r="C60" s="18"/>
      <x:c r="D60" s="19"/>
      <x:c r="E60" s="19"/>
      <x:c r="F60" s="19"/>
      <x:c r="G60" s="19"/>
      <x:c r="H60" s="19"/>
      <x:c r="I60" s="19"/>
      <x:c r="J60" s="19"/>
      <x:c r="K60" s="1"/>
      <x:c r="L60" s="1"/>
    </x:row>
    <x:row r="61" ht="21" customHeight="1">
      <x:c r="A61" s="1"/>
      <x:c r="B61" s="1"/>
      <x:c r="C61" s="18"/>
      <x:c r="D61" s="19"/>
      <x:c r="E61" s="19"/>
      <x:c r="F61" s="19"/>
      <x:c r="G61" s="19"/>
      <x:c r="H61" s="19"/>
      <x:c r="I61" s="19"/>
      <x:c r="J61" s="19"/>
      <x:c r="K61" s="1"/>
      <x:c r="L61" s="1"/>
    </x:row>
    <x:row r="62" ht="21" customHeight="1">
      <x:c r="A62" s="1"/>
      <x:c r="B62" s="1"/>
      <x:c r="C62" s="18" t="str">
        <x:v>All non-operating other gains/losses are excluded from recurring EBIT. Some recurring costs could be hidden there. No tax-adjusted normalized net income is asserted.</x:v>
      </x:c>
      <x:c r="D62" s="19"/>
      <x:c r="E62" s="19"/>
      <x:c r="F62" s="19"/>
      <x:c r="G62" s="19"/>
      <x:c r="H62" s="19"/>
      <x:c r="I62" s="19"/>
      <x:c r="J62" s="19"/>
      <x:c r="K62" s="1"/>
      <x:c r="L62" s="1"/>
    </x:row>
    <x:row r="63" ht="21" customHeight="1">
      <x:c r="A63" s="1"/>
      <x:c r="B63" s="1"/>
      <x:c r="C63" s="18"/>
      <x:c r="D63" s="19"/>
      <x:c r="E63" s="19"/>
      <x:c r="F63" s="19"/>
      <x:c r="G63" s="19"/>
      <x:c r="H63" s="19"/>
      <x:c r="I63" s="19"/>
      <x:c r="J63" s="19"/>
      <x:c r="K63" s="1"/>
      <x:c r="L63" s="1"/>
    </x:row>
    <x:row r="64" ht="21" customHeight="1">
      <x:c r="A64" s="1"/>
      <x:c r="B64" s="1"/>
      <x:c r="C64" s="18"/>
      <x:c r="D64" s="19"/>
      <x:c r="E64" s="19"/>
      <x:c r="F64" s="19"/>
      <x:c r="G64" s="19"/>
      <x:c r="H64" s="19"/>
      <x:c r="I64" s="19"/>
      <x:c r="J64" s="19"/>
      <x:c r="K64" s="1"/>
      <x:c r="L64" s="1"/>
    </x:row>
    <x:row r="65" ht="21" customHeight="1">
      <x:c r="A65" s="1"/>
      <x:c r="B65" s="1"/>
      <x:c r="C65" s="18" t="str">
        <x:v>Operating NWC uses a simplified ratio. A temporary working-capital release is not capitalized as perpetual growth.</x:v>
      </x:c>
      <x:c r="D65" s="19"/>
      <x:c r="E65" s="19"/>
      <x:c r="F65" s="19"/>
      <x:c r="G65" s="19"/>
      <x:c r="H65" s="19"/>
      <x:c r="I65" s="19"/>
      <x:c r="J65" s="19"/>
      <x:c r="K65" s="1"/>
      <x:c r="L65" s="1"/>
    </x:row>
    <x:row r="66" ht="21" customHeight="1">
      <x:c r="A66" s="1"/>
      <x:c r="B66" s="1"/>
      <x:c r="C66" s="18"/>
      <x:c r="D66" s="19"/>
      <x:c r="E66" s="19"/>
      <x:c r="F66" s="19"/>
      <x:c r="G66" s="19"/>
      <x:c r="H66" s="19"/>
      <x:c r="I66" s="19"/>
      <x:c r="J66" s="19"/>
      <x:c r="K66" s="1"/>
      <x:c r="L66" s="1"/>
    </x:row>
    <x:row r="67" ht="21" customHeight="1">
      <x:c r="A67" s="1"/>
      <x:c r="B67" s="1"/>
      <x:c r="C67" s="18"/>
      <x:c r="D67" s="19"/>
      <x:c r="E67" s="19"/>
      <x:c r="F67" s="19"/>
      <x:c r="G67" s="19"/>
      <x:c r="H67" s="19"/>
      <x:c r="I67" s="19"/>
      <x:c r="J67" s="19"/>
      <x:c r="K67" s="1"/>
      <x:c r="L67" s="1"/>
    </x:row>
    <x:row r="68" ht="21" customHeight="1">
      <x:c r="A68" s="1"/>
      <x:c r="B68" s="1"/>
      <x:c r="C68" s="18" t="str">
        <x:v>Monte Carlo percentiles describe assumed inputs, not statistical confidence intervals or measured probabilities of investment success.</x:v>
      </x:c>
      <x:c r="D68" s="19"/>
      <x:c r="E68" s="19"/>
      <x:c r="F68" s="19"/>
      <x:c r="G68" s="19"/>
      <x:c r="H68" s="19"/>
      <x:c r="I68" s="19"/>
      <x:c r="J68" s="19"/>
      <x:c r="K68" s="1"/>
      <x:c r="L68" s="1"/>
    </x:row>
    <x:row r="69" ht="21" customHeight="1">
      <x:c r="A69" s="1"/>
      <x:c r="B69" s="1"/>
      <x:c r="C69" s="18"/>
      <x:c r="D69" s="19"/>
      <x:c r="E69" s="19"/>
      <x:c r="F69" s="19"/>
      <x:c r="G69" s="19"/>
      <x:c r="H69" s="19"/>
      <x:c r="I69" s="19"/>
      <x:c r="J69" s="19"/>
      <x:c r="K69" s="1"/>
      <x:c r="L69" s="1"/>
    </x:row>
    <x:row r="70" ht="21" customHeight="1">
      <x:c r="A70" s="1"/>
      <x:c r="B70" s="1"/>
      <x:c r="C70" s="18"/>
      <x:c r="D70" s="19"/>
      <x:c r="E70" s="19"/>
      <x:c r="F70" s="19"/>
      <x:c r="G70" s="19"/>
      <x:c r="H70" s="19"/>
      <x:c r="I70" s="19"/>
      <x:c r="J70" s="19"/>
      <x:c r="K70" s="1"/>
      <x:c r="L70" s="1"/>
    </x:row>
    <x:row r="71" ht="21" customHeight="1">
      <x:c r="A71" s="1"/>
      <x:c r="B71" s="1"/>
      <x:c r="C71" s="18" t="str">
        <x:v>Price: https://stockanalysis.com/quote/idx/DEWA/history/</x:v>
      </x:c>
      <x:c r="D71" s="19"/>
      <x:c r="E71" s="19"/>
      <x:c r="F71" s="19"/>
      <x:c r="G71" s="19"/>
      <x:c r="H71" s="19"/>
      <x:c r="I71" s="19"/>
      <x:c r="J71" s="19"/>
      <x:c r="K71" s="1"/>
      <x:c r="L71" s="1"/>
    </x:row>
    <x:row r="72" ht="21" customHeight="1">
      <x:c r="A72" s="1"/>
      <x:c r="B72" s="1"/>
      <x:c r="C72" s="18"/>
      <x:c r="D72" s="19"/>
      <x:c r="E72" s="19"/>
      <x:c r="F72" s="19"/>
      <x:c r="G72" s="19"/>
      <x:c r="H72" s="19"/>
      <x:c r="I72" s="19"/>
      <x:c r="J72" s="19"/>
      <x:c r="K72" s="1"/>
      <x:c r="L72" s="1"/>
    </x:row>
    <x:row r="73" ht="21" customHeight="1">
      <x:c r="A73" s="1"/>
      <x:c r="B73" s="1"/>
      <x:c r="C73" s="18"/>
      <x:c r="D73" s="19"/>
      <x:c r="E73" s="19"/>
      <x:c r="F73" s="19"/>
      <x:c r="G73" s="19"/>
      <x:c r="H73" s="19"/>
      <x:c r="I73" s="19"/>
      <x:c r="J73" s="19"/>
      <x:c r="K73" s="1"/>
      <x:c r="L73" s="1"/>
    </x:row>
    <x:row r="74" ht="21" customHeight="1">
      <x:c r="A74" s="1"/>
      <x:c r="B74" s="1"/>
      <x:c r="C74" s="18" t="str">
        <x:v>Issued shares: https://web.ksei.co.id/services/registered-securities/shares/lc/DEWA?setLocale=en-US</x:v>
      </x:c>
      <x:c r="D74" s="19"/>
      <x:c r="E74" s="19"/>
      <x:c r="F74" s="19"/>
      <x:c r="G74" s="19"/>
      <x:c r="H74" s="19"/>
      <x:c r="I74" s="19"/>
      <x:c r="J74" s="19"/>
      <x:c r="K74" s="1"/>
      <x:c r="L74" s="1"/>
    </x:row>
    <x:row r="75" ht="21" customHeight="1">
      <x:c r="A75" s="1"/>
      <x:c r="B75" s="1"/>
      <x:c r="C75" s="18"/>
      <x:c r="D75" s="19"/>
      <x:c r="E75" s="19"/>
      <x:c r="F75" s="19"/>
      <x:c r="G75" s="19"/>
      <x:c r="H75" s="19"/>
      <x:c r="I75" s="19"/>
      <x:c r="J75" s="19"/>
      <x:c r="K75" s="1"/>
      <x:c r="L75" s="1"/>
    </x:row>
    <x:row r="76" ht="21" customHeight="1">
      <x:c r="A76" s="1"/>
      <x:c r="B76" s="1"/>
      <x:c r="C76" s="18"/>
      <x:c r="D76" s="19"/>
      <x:c r="E76" s="19"/>
      <x:c r="F76" s="19"/>
      <x:c r="G76" s="19"/>
      <x:c r="H76" s="19"/>
      <x:c r="I76" s="19"/>
      <x:c r="J76" s="19"/>
      <x:c r="K76" s="1"/>
      <x:c r="L76" s="1"/>
    </x:row>
    <x:row r="77" ht="21" customHeight="1">
      <x:c r="A77" s="1"/>
      <x:c r="B77" s="1"/>
      <x:c r="C77" s="18" t="str">
        <x:v>FX is unnecessary for the IDR model; optional USD display reference 18,050 on 19 October 2026: https://www.bi.go.id/en/statistik/informasi-kurs/transaksi-bi/jisdor/default.aspx</x:v>
      </x:c>
      <x:c r="D77" s="19"/>
      <x:c r="E77" s="19"/>
      <x:c r="F77" s="19"/>
      <x:c r="G77" s="19"/>
      <x:c r="H77" s="19"/>
      <x:c r="I77" s="19"/>
      <x:c r="J77" s="19"/>
      <x:c r="K77" s="1"/>
      <x:c r="L77" s="1"/>
    </x:row>
    <x:row r="78" ht="21" customHeight="1">
      <x:c r="A78" s="1"/>
      <x:c r="B78" s="1"/>
      <x:c r="C78" s="18"/>
      <x:c r="D78" s="19"/>
      <x:c r="E78" s="19"/>
      <x:c r="F78" s="19"/>
      <x:c r="G78" s="19"/>
      <x:c r="H78" s="19"/>
      <x:c r="I78" s="19"/>
      <x:c r="J78" s="19"/>
      <x:c r="K78" s="1"/>
      <x:c r="L78" s="1"/>
    </x:row>
    <x:row r="79" ht="21" customHeight="1">
      <x:c r="A79" s="1"/>
      <x:c r="B79" s="1"/>
      <x:c r="C79" s="18"/>
      <x:c r="D79" s="19"/>
      <x:c r="E79" s="19"/>
      <x:c r="F79" s="19"/>
      <x:c r="G79" s="19"/>
      <x:c r="H79" s="19"/>
      <x:c r="I79" s="19"/>
      <x:c r="J79" s="19"/>
      <x:c r="K79" s="1"/>
      <x:c r="L79" s="1"/>
    </x:row>
    <x:row r="80" ht="21" customHeight="1">
      <x:c r="A80" s="1"/>
      <x:c r="B80" s="1"/>
      <x:c r="C80" s="1"/>
      <x:c r="D80" s="2"/>
      <x:c r="E80" s="2"/>
      <x:c r="F80" s="2"/>
      <x:c r="G80" s="2"/>
      <x:c r="H80" s="2"/>
      <x:c r="I80" s="2"/>
      <x:c r="J80" s="2"/>
      <x:c r="K80" s="1"/>
      <x:c r="L80" s="1"/>
    </x:row>
    <x:row r="81" ht="21" customHeight="1">
      <x:c r="A81" s="1"/>
      <x:c r="B81" s="1"/>
      <x:c r="C81" s="1"/>
      <x:c r="D81" s="2"/>
      <x:c r="E81" s="2"/>
      <x:c r="F81" s="2"/>
      <x:c r="G81" s="2"/>
      <x:c r="H81" s="2"/>
      <x:c r="I81" s="2"/>
      <x:c r="J81" s="2"/>
      <x:c r="K81" s="1"/>
      <x:c r="L81" s="1"/>
    </x:row>
    <x:row r="82" ht="21" customHeight="1">
      <x:c r="A82" s="1"/>
      <x:c r="B82" s="1"/>
      <x:c r="C82" s="1"/>
      <x:c r="D82" s="2"/>
      <x:c r="E82" s="2"/>
      <x:c r="F82" s="2"/>
      <x:c r="G82" s="2"/>
      <x:c r="H82" s="2"/>
      <x:c r="I82" s="2"/>
      <x:c r="J82" s="2"/>
      <x:c r="K82" s="1"/>
      <x:c r="L82" s="1"/>
    </x:row>
    <x:row r="83" ht="21" customHeight="1">
      <x:c r="A83" s="1"/>
      <x:c r="B83" s="1"/>
      <x:c r="C83" s="1"/>
      <x:c r="D83" s="2"/>
      <x:c r="E83" s="2"/>
      <x:c r="F83" s="2"/>
      <x:c r="G83" s="2"/>
      <x:c r="H83" s="2"/>
      <x:c r="I83" s="2"/>
      <x:c r="J83" s="2"/>
      <x:c r="K83" s="1"/>
      <x:c r="L83" s="1"/>
    </x:row>
    <x:row r="84" ht="21" customHeight="1">
      <x:c r="A84" s="1"/>
      <x:c r="B84" s="1"/>
      <x:c r="C84" s="1"/>
      <x:c r="D84" s="2"/>
      <x:c r="E84" s="2"/>
      <x:c r="F84" s="2"/>
      <x:c r="G84" s="2"/>
      <x:c r="H84" s="2"/>
      <x:c r="I84" s="2"/>
      <x:c r="J84" s="2"/>
      <x:c r="K84" s="1"/>
      <x:c r="L84" s="1"/>
    </x:row>
    <x:row r="85" ht="21" customHeight="1">
      <x:c r="A85" s="1"/>
      <x:c r="B85" s="1"/>
      <x:c r="C85" s="1"/>
      <x:c r="D85" s="2"/>
      <x:c r="E85" s="2"/>
      <x:c r="F85" s="2"/>
      <x:c r="G85" s="2"/>
      <x:c r="H85" s="2"/>
      <x:c r="I85" s="2"/>
      <x:c r="J85" s="2"/>
      <x:c r="K85" s="1"/>
      <x:c r="L85" s="1"/>
    </x:row>
    <x:row r="86" ht="21" customHeight="1">
      <x:c r="A86" s="1"/>
      <x:c r="B86" s="1"/>
      <x:c r="C86" s="1"/>
      <x:c r="D86" s="2"/>
      <x:c r="E86" s="2"/>
      <x:c r="F86" s="2"/>
      <x:c r="G86" s="2"/>
      <x:c r="H86" s="2"/>
      <x:c r="I86" s="2"/>
      <x:c r="J86" s="2"/>
      <x:c r="K86" s="1"/>
      <x:c r="L86" s="1"/>
    </x:row>
    <x:row r="87" ht="21" customHeight="1">
      <x:c r="A87" s="1"/>
      <x:c r="B87" s="1"/>
      <x:c r="C87" s="1"/>
      <x:c r="D87" s="2"/>
      <x:c r="E87" s="2"/>
      <x:c r="F87" s="2"/>
      <x:c r="G87" s="2"/>
      <x:c r="H87" s="2"/>
      <x:c r="I87" s="2"/>
      <x:c r="J87" s="2"/>
      <x:c r="K87" s="1"/>
      <x:c r="L87" s="1"/>
    </x:row>
    <x:row r="88" ht="21" customHeight="1">
      <x:c r="A88" s="1"/>
      <x:c r="B88" s="1"/>
      <x:c r="C88" s="1"/>
      <x:c r="D88" s="2"/>
      <x:c r="E88" s="2"/>
      <x:c r="F88" s="2"/>
      <x:c r="G88" s="2"/>
      <x:c r="H88" s="2"/>
      <x:c r="I88" s="2"/>
      <x:c r="J88" s="2"/>
      <x:c r="K88" s="1"/>
      <x:c r="L88" s="1"/>
    </x:row>
    <x:row r="89" ht="21" customHeight="1">
      <x:c r="A89" s="1"/>
      <x:c r="B89" s="1"/>
      <x:c r="C89" s="1"/>
      <x:c r="D89" s="2"/>
      <x:c r="E89" s="2"/>
      <x:c r="F89" s="2"/>
      <x:c r="G89" s="2"/>
      <x:c r="H89" s="2"/>
      <x:c r="I89" s="2"/>
      <x:c r="J89" s="2"/>
      <x:c r="K89" s="1"/>
      <x:c r="L89" s="1"/>
    </x:row>
    <x:row r="90" ht="21" customHeight="1">
      <x:c r="A90" s="1"/>
      <x:c r="B90" s="1"/>
      <x:c r="C90" s="1"/>
      <x:c r="D90" s="2"/>
      <x:c r="E90" s="2"/>
      <x:c r="F90" s="2"/>
      <x:c r="G90" s="2"/>
      <x:c r="H90" s="2"/>
      <x:c r="I90" s="2"/>
      <x:c r="J90" s="2"/>
      <x:c r="K90" s="1"/>
      <x:c r="L90" s="1"/>
    </x:row>
    <x:row r="91" ht="21" customHeight="1">
      <x:c r="A91" s="1"/>
      <x:c r="B91" s="1"/>
      <x:c r="C91" s="1"/>
      <x:c r="D91" s="2"/>
      <x:c r="E91" s="2"/>
      <x:c r="F91" s="2"/>
      <x:c r="G91" s="2"/>
      <x:c r="H91" s="2"/>
      <x:c r="I91" s="2"/>
      <x:c r="J91" s="2"/>
      <x:c r="K91" s="1"/>
      <x:c r="L91" s="1"/>
    </x:row>
    <x:row r="92" ht="21" customHeight="1">
      <x:c r="A92" s="1"/>
      <x:c r="B92" s="1"/>
      <x:c r="C92" s="1"/>
      <x:c r="D92" s="2"/>
      <x:c r="E92" s="2"/>
      <x:c r="F92" s="2"/>
      <x:c r="G92" s="2"/>
      <x:c r="H92" s="2"/>
      <x:c r="I92" s="2"/>
      <x:c r="J92" s="2"/>
      <x:c r="K92" s="1"/>
      <x:c r="L92" s="1"/>
    </x:row>
    <x:row r="93" ht="21" customHeight="1">
      <x:c r="A93" s="1"/>
      <x:c r="B93" s="1"/>
      <x:c r="C93" s="1"/>
      <x:c r="D93" s="2"/>
      <x:c r="E93" s="2"/>
      <x:c r="F93" s="2"/>
      <x:c r="G93" s="2"/>
      <x:c r="H93" s="2"/>
      <x:c r="I93" s="2"/>
      <x:c r="J93" s="2"/>
      <x:c r="K93" s="1"/>
      <x:c r="L93" s="1"/>
    </x:row>
    <x:row r="94" ht="21" customHeight="1">
      <x:c r="A94" s="1"/>
      <x:c r="B94" s="1"/>
      <x:c r="C94" s="1"/>
      <x:c r="D94" s="2"/>
      <x:c r="E94" s="2"/>
      <x:c r="F94" s="2"/>
      <x:c r="G94" s="2"/>
      <x:c r="H94" s="2"/>
      <x:c r="I94" s="2"/>
      <x:c r="J94" s="2"/>
      <x:c r="K94" s="1"/>
      <x:c r="L94" s="1"/>
    </x:row>
    <x:row r="95" ht="21" customHeight="1">
      <x:c r="A95" s="1"/>
      <x:c r="B95" s="1"/>
      <x:c r="C95" s="1"/>
      <x:c r="D95" s="2"/>
      <x:c r="E95" s="2"/>
      <x:c r="F95" s="2"/>
      <x:c r="G95" s="2"/>
      <x:c r="H95" s="2"/>
      <x:c r="I95" s="2"/>
      <x:c r="J95" s="2"/>
      <x:c r="K95" s="1"/>
      <x:c r="L95" s="1"/>
    </x:row>
    <x:row r="96" ht="21" customHeight="1">
      <x:c r="A96" s="1"/>
      <x:c r="B96" s="1"/>
      <x:c r="C96" s="1"/>
      <x:c r="D96" s="2"/>
      <x:c r="E96" s="2"/>
      <x:c r="F96" s="2"/>
      <x:c r="G96" s="2"/>
      <x:c r="H96" s="2"/>
      <x:c r="I96" s="2"/>
      <x:c r="J96" s="2"/>
      <x:c r="K96" s="1"/>
      <x:c r="L96" s="1"/>
    </x:row>
    <x:row r="97" ht="21" customHeight="1">
      <x:c r="A97" s="1"/>
      <x:c r="B97" s="1"/>
      <x:c r="C97" s="1"/>
      <x:c r="D97" s="2"/>
      <x:c r="E97" s="2"/>
      <x:c r="F97" s="2"/>
      <x:c r="G97" s="2"/>
      <x:c r="H97" s="2"/>
      <x:c r="I97" s="2"/>
      <x:c r="J97" s="2"/>
      <x:c r="K97" s="1"/>
      <x:c r="L97" s="1"/>
    </x:row>
    <x:row r="98" ht="21" customHeight="1">
      <x:c r="A98" s="1"/>
      <x:c r="B98" s="1"/>
      <x:c r="C98" s="1"/>
      <x:c r="D98" s="2"/>
      <x:c r="E98" s="2"/>
      <x:c r="F98" s="2"/>
      <x:c r="G98" s="2"/>
      <x:c r="H98" s="2"/>
      <x:c r="I98" s="2"/>
      <x:c r="J98" s="2"/>
      <x:c r="K98" s="1"/>
      <x:c r="L98" s="1"/>
    </x:row>
    <x:row r="99" ht="21" customHeight="1">
      <x:c r="A99" s="1"/>
      <x:c r="B99" s="1"/>
      <x:c r="C99" s="1"/>
      <x:c r="D99" s="2"/>
      <x:c r="E99" s="2"/>
      <x:c r="F99" s="2"/>
      <x:c r="G99" s="2"/>
      <x:c r="H99" s="2"/>
      <x:c r="I99" s="2"/>
      <x:c r="J99" s="2"/>
      <x:c r="K99" s="1"/>
      <x:c r="L99" s="1"/>
    </x:row>
    <x:row r="100" ht="21" customHeight="1">
      <x:c r="A100" s="1"/>
      <x:c r="B100" s="1"/>
      <x:c r="C100" s="1"/>
      <x:c r="D100" s="2"/>
      <x:c r="E100" s="2"/>
      <x:c r="F100" s="2"/>
      <x:c r="G100" s="2"/>
      <x:c r="H100" s="2"/>
      <x:c r="I100" s="2"/>
      <x:c r="J100" s="2"/>
      <x:c r="K100" s="1"/>
      <x:c r="L100" s="1"/>
    </x:row>
    <x:row r="101" ht="21" customHeight="1">
      <x:c r="A101" s="1"/>
      <x:c r="B101" s="1"/>
      <x:c r="C101" s="1"/>
      <x:c r="D101" s="2"/>
      <x:c r="E101" s="2"/>
      <x:c r="F101" s="2"/>
      <x:c r="G101" s="2"/>
      <x:c r="H101" s="2"/>
      <x:c r="I101" s="2"/>
      <x:c r="J101" s="2"/>
      <x:c r="K101" s="1"/>
      <x:c r="L101" s="1"/>
    </x:row>
    <x:row r="102" ht="21" customHeight="1">
      <x:c r="A102" s="1"/>
      <x:c r="B102" s="1"/>
      <x:c r="C102" s="1"/>
      <x:c r="D102" s="2"/>
      <x:c r="E102" s="2"/>
      <x:c r="F102" s="2"/>
      <x:c r="G102" s="2"/>
      <x:c r="H102" s="2"/>
      <x:c r="I102" s="2"/>
      <x:c r="J102" s="2"/>
      <x:c r="K102" s="1"/>
      <x:c r="L102" s="1"/>
    </x:row>
    <x:row r="103" ht="21" customHeight="1">
      <x:c r="A103" s="1"/>
      <x:c r="B103" s="1"/>
      <x:c r="C103" s="1"/>
      <x:c r="D103" s="2"/>
      <x:c r="E103" s="2"/>
      <x:c r="F103" s="2"/>
      <x:c r="G103" s="2"/>
      <x:c r="H103" s="2"/>
      <x:c r="I103" s="2"/>
      <x:c r="J103" s="2"/>
      <x:c r="K103" s="1"/>
      <x:c r="L103" s="1"/>
    </x:row>
    <x:row r="104" ht="21" customHeight="1">
      <x:c r="A104" s="1"/>
      <x:c r="B104" s="1"/>
      <x:c r="C104" s="1"/>
      <x:c r="D104" s="2"/>
      <x:c r="E104" s="2"/>
      <x:c r="F104" s="2"/>
      <x:c r="G104" s="2"/>
      <x:c r="H104" s="2"/>
      <x:c r="I104" s="2"/>
      <x:c r="J104" s="2"/>
      <x:c r="K104" s="1"/>
      <x:c r="L104" s="1"/>
    </x:row>
    <x:row r="105" ht="21" customHeight="1">
      <x:c r="A105" s="1"/>
      <x:c r="B105" s="1"/>
      <x:c r="C105" s="1"/>
      <x:c r="D105" s="2"/>
      <x:c r="E105" s="2"/>
      <x:c r="F105" s="2"/>
      <x:c r="G105" s="2"/>
      <x:c r="H105" s="2"/>
      <x:c r="I105" s="2"/>
      <x:c r="J105" s="2"/>
      <x:c r="K105" s="1"/>
      <x:c r="L105" s="1"/>
    </x:row>
    <x:row r="106" ht="21" customHeight="1">
      <x:c r="A106" s="1"/>
      <x:c r="B106" s="1"/>
      <x:c r="C106" s="1"/>
      <x:c r="D106" s="2"/>
      <x:c r="E106" s="2"/>
      <x:c r="F106" s="2"/>
      <x:c r="G106" s="2"/>
      <x:c r="H106" s="2"/>
      <x:c r="I106" s="2"/>
      <x:c r="J106" s="2"/>
      <x:c r="K106" s="1"/>
      <x:c r="L106" s="1"/>
    </x:row>
    <x:row r="107" ht="21" customHeight="1">
      <x:c r="A107" s="1"/>
      <x:c r="B107" s="1"/>
      <x:c r="C107" s="1"/>
      <x:c r="D107" s="2"/>
      <x:c r="E107" s="2"/>
      <x:c r="F107" s="2"/>
      <x:c r="G107" s="2"/>
      <x:c r="H107" s="2"/>
      <x:c r="I107" s="2"/>
      <x:c r="J107" s="2"/>
      <x:c r="K107" s="1"/>
      <x:c r="L107" s="1"/>
    </x:row>
    <x:row r="108" ht="21" customHeight="1">
      <x:c r="A108" s="1"/>
      <x:c r="B108" s="1"/>
      <x:c r="C108" s="1"/>
      <x:c r="D108" s="2"/>
      <x:c r="E108" s="2"/>
      <x:c r="F108" s="2"/>
      <x:c r="G108" s="2"/>
      <x:c r="H108" s="2"/>
      <x:c r="I108" s="2"/>
      <x:c r="J108" s="2"/>
      <x:c r="K108" s="1"/>
      <x:c r="L108" s="1"/>
    </x:row>
    <x:row r="109" ht="21" customHeight="1">
      <x:c r="A109" s="1"/>
      <x:c r="B109" s="1"/>
      <x:c r="C109" s="1"/>
      <x:c r="D109" s="2"/>
      <x:c r="E109" s="2"/>
      <x:c r="F109" s="2"/>
      <x:c r="G109" s="2"/>
      <x:c r="H109" s="2"/>
      <x:c r="I109" s="2"/>
      <x:c r="J109" s="2"/>
      <x:c r="K109" s="1"/>
      <x:c r="L109" s="1"/>
    </x:row>
    <x:row r="110" ht="21" customHeight="1">
      <x:c r="A110" s="1"/>
      <x:c r="B110" s="1"/>
      <x:c r="C110" s="1"/>
      <x:c r="D110" s="2"/>
      <x:c r="E110" s="2"/>
      <x:c r="F110" s="2"/>
      <x:c r="G110" s="2"/>
      <x:c r="H110" s="2"/>
      <x:c r="I110" s="2"/>
      <x:c r="J110" s="2"/>
      <x:c r="K110" s="1"/>
      <x:c r="L110" s="1"/>
    </x:row>
    <x:row r="111" ht="21" customHeight="1">
      <x:c r="A111" s="1"/>
      <x:c r="B111" s="1"/>
      <x:c r="C111" s="1"/>
      <x:c r="D111" s="2"/>
      <x:c r="E111" s="2"/>
      <x:c r="F111" s="2"/>
      <x:c r="G111" s="2"/>
      <x:c r="H111" s="2"/>
      <x:c r="I111" s="2"/>
      <x:c r="J111" s="2"/>
      <x:c r="K111" s="1"/>
      <x:c r="L111" s="1"/>
    </x:row>
    <x:row r="112" ht="21" customHeight="1">
      <x:c r="A112" s="1"/>
      <x:c r="B112" s="1"/>
      <x:c r="C112" s="1"/>
      <x:c r="D112" s="2"/>
      <x:c r="E112" s="2"/>
      <x:c r="F112" s="2"/>
      <x:c r="G112" s="2"/>
      <x:c r="H112" s="2"/>
      <x:c r="I112" s="2"/>
      <x:c r="J112" s="2"/>
      <x:c r="K112" s="1"/>
      <x:c r="L112" s="1"/>
    </x:row>
    <x:row r="113" ht="21" customHeight="1">
      <x:c r="A113" s="1"/>
      <x:c r="B113" s="1"/>
      <x:c r="C113" s="1"/>
      <x:c r="D113" s="2"/>
      <x:c r="E113" s="2"/>
      <x:c r="F113" s="2"/>
      <x:c r="G113" s="2"/>
      <x:c r="H113" s="2"/>
      <x:c r="I113" s="2"/>
      <x:c r="J113" s="2"/>
      <x:c r="K113" s="1"/>
      <x:c r="L113" s="1"/>
    </x:row>
    <x:row r="114" ht="21" customHeight="1">
      <x:c r="A114" s="1"/>
      <x:c r="B114" s="1"/>
      <x:c r="C114" s="1"/>
      <x:c r="D114" s="2"/>
      <x:c r="E114" s="2"/>
      <x:c r="F114" s="2"/>
      <x:c r="G114" s="2"/>
      <x:c r="H114" s="2"/>
      <x:c r="I114" s="2"/>
      <x:c r="J114" s="2"/>
      <x:c r="K114" s="1"/>
      <x:c r="L114" s="1"/>
    </x:row>
    <x:row r="115" ht="21" customHeight="1">
      <x:c r="A115" s="1"/>
      <x:c r="B115" s="1"/>
      <x:c r="C115" s="1"/>
      <x:c r="D115" s="2"/>
      <x:c r="E115" s="2"/>
      <x:c r="F115" s="2"/>
      <x:c r="G115" s="2"/>
      <x:c r="H115" s="2"/>
      <x:c r="I115" s="2"/>
      <x:c r="J115" s="2"/>
      <x:c r="K115" s="1"/>
      <x:c r="L115" s="1"/>
    </x:row>
    <x:row r="116" ht="21" customHeight="1">
      <x:c r="A116" s="1"/>
      <x:c r="B116" s="1"/>
      <x:c r="C116" s="1"/>
      <x:c r="D116" s="2"/>
      <x:c r="E116" s="2"/>
      <x:c r="F116" s="2"/>
      <x:c r="G116" s="2"/>
      <x:c r="H116" s="2"/>
      <x:c r="I116" s="2"/>
      <x:c r="J116" s="2"/>
      <x:c r="K116" s="1"/>
      <x:c r="L116" s="1"/>
    </x:row>
    <x:row r="117" ht="21" customHeight="1">
      <x:c r="A117" s="1"/>
      <x:c r="B117" s="1"/>
      <x:c r="C117" s="1"/>
      <x:c r="D117" s="2"/>
      <x:c r="E117" s="2"/>
      <x:c r="F117" s="2"/>
      <x:c r="G117" s="2"/>
      <x:c r="H117" s="2"/>
      <x:c r="I117" s="2"/>
      <x:c r="J117" s="2"/>
      <x:c r="K117" s="1"/>
      <x:c r="L117" s="1"/>
    </x:row>
    <x:row r="118" ht="21" customHeight="1">
      <x:c r="A118" s="1"/>
      <x:c r="B118" s="1"/>
      <x:c r="C118" s="1"/>
      <x:c r="D118" s="2"/>
      <x:c r="E118" s="2"/>
      <x:c r="F118" s="2"/>
      <x:c r="G118" s="2"/>
      <x:c r="H118" s="2"/>
      <x:c r="I118" s="2"/>
      <x:c r="J118" s="2"/>
      <x:c r="K118" s="1"/>
      <x:c r="L118" s="1"/>
    </x:row>
    <x:row r="119" ht="21" customHeight="1">
      <x:c r="A119" s="1"/>
      <x:c r="B119" s="1"/>
      <x:c r="C119" s="1"/>
      <x:c r="D119" s="2"/>
      <x:c r="E119" s="2"/>
      <x:c r="F119" s="2"/>
      <x:c r="G119" s="2"/>
      <x:c r="H119" s="2"/>
      <x:c r="I119" s="2"/>
      <x:c r="J119" s="2"/>
      <x:c r="K119" s="1"/>
      <x:c r="L119" s="1"/>
    </x:row>
    <x:row r="120" ht="21" customHeight="1">
      <x:c r="A120" s="1"/>
      <x:c r="B120" s="1"/>
      <x:c r="C120" s="1"/>
      <x:c r="D120" s="2"/>
      <x:c r="E120" s="2"/>
      <x:c r="F120" s="2"/>
      <x:c r="G120" s="2"/>
      <x:c r="H120" s="2"/>
      <x:c r="I120" s="2"/>
      <x:c r="J120" s="2"/>
      <x:c r="K120" s="1"/>
      <x:c r="L120" s="1"/>
    </x:row>
    <x:row r="121" ht="21" customHeight="1">
      <x:c r="A121" s="1"/>
      <x:c r="B121" s="1"/>
      <x:c r="C121" s="1"/>
      <x:c r="D121" s="2"/>
      <x:c r="E121" s="2"/>
      <x:c r="F121" s="2"/>
      <x:c r="G121" s="2"/>
      <x:c r="H121" s="2"/>
      <x:c r="I121" s="2"/>
      <x:c r="J121" s="2"/>
      <x:c r="K121" s="1"/>
      <x:c r="L121" s="1"/>
    </x:row>
    <x:row r="122" ht="21" customHeight="1">
      <x:c r="A122" s="1"/>
      <x:c r="B122" s="1"/>
      <x:c r="C122" s="1"/>
      <x:c r="D122" s="2"/>
      <x:c r="E122" s="2"/>
      <x:c r="F122" s="2"/>
      <x:c r="G122" s="2"/>
      <x:c r="H122" s="2"/>
      <x:c r="I122" s="2"/>
      <x:c r="J122" s="2"/>
      <x:c r="K122" s="1"/>
      <x:c r="L122" s="1"/>
    </x:row>
    <x:row r="123" ht="21" customHeight="1">
      <x:c r="A123" s="1"/>
      <x:c r="B123" s="1"/>
      <x:c r="C123" s="1"/>
      <x:c r="D123" s="2"/>
      <x:c r="E123" s="2"/>
      <x:c r="F123" s="2"/>
      <x:c r="G123" s="2"/>
      <x:c r="H123" s="2"/>
      <x:c r="I123" s="2"/>
      <x:c r="J123" s="2"/>
      <x:c r="K123" s="1"/>
      <x:c r="L123" s="1"/>
    </x:row>
    <x:row r="124" ht="21" customHeight="1">
      <x:c r="A124" s="1"/>
      <x:c r="B124" s="1"/>
      <x:c r="C124" s="1"/>
      <x:c r="D124" s="2"/>
      <x:c r="E124" s="2"/>
      <x:c r="F124" s="2"/>
      <x:c r="G124" s="2"/>
      <x:c r="H124" s="2"/>
      <x:c r="I124" s="2"/>
      <x:c r="J124" s="2"/>
      <x:c r="K124" s="1"/>
      <x:c r="L124" s="1"/>
    </x:row>
    <x:row r="125" ht="21" customHeight="1">
      <x:c r="A125" s="1"/>
      <x:c r="B125" s="1"/>
      <x:c r="C125" s="1"/>
      <x:c r="D125" s="2"/>
      <x:c r="E125" s="2"/>
      <x:c r="F125" s="2"/>
      <x:c r="G125" s="2"/>
      <x:c r="H125" s="2"/>
      <x:c r="I125" s="2"/>
      <x:c r="J125" s="2"/>
      <x:c r="K125" s="1"/>
      <x:c r="L125" s="1"/>
    </x:row>
    <x:row r="126" ht="21" customHeight="1">
      <x:c r="A126" s="1"/>
      <x:c r="B126" s="1"/>
      <x:c r="C126" s="1"/>
      <x:c r="D126" s="2"/>
      <x:c r="E126" s="2"/>
      <x:c r="F126" s="2"/>
      <x:c r="G126" s="2"/>
      <x:c r="H126" s="2"/>
      <x:c r="I126" s="2"/>
      <x:c r="J126" s="2"/>
      <x:c r="K126" s="1"/>
      <x:c r="L126" s="1"/>
    </x:row>
    <x:row r="127" ht="21" customHeight="1">
      <x:c r="A127" s="1"/>
      <x:c r="B127" s="1"/>
      <x:c r="C127" s="1"/>
      <x:c r="D127" s="2"/>
      <x:c r="E127" s="2"/>
      <x:c r="F127" s="2"/>
      <x:c r="G127" s="2"/>
      <x:c r="H127" s="2"/>
      <x:c r="I127" s="2"/>
      <x:c r="J127" s="2"/>
      <x:c r="K127" s="1"/>
      <x:c r="L127" s="1"/>
    </x:row>
    <x:row r="128" ht="21" customHeight="1">
      <x:c r="A128" s="1"/>
      <x:c r="B128" s="1"/>
      <x:c r="C128" s="1"/>
      <x:c r="D128" s="2"/>
      <x:c r="E128" s="2"/>
      <x:c r="F128" s="2"/>
      <x:c r="G128" s="2"/>
      <x:c r="H128" s="2"/>
      <x:c r="I128" s="2"/>
      <x:c r="J128" s="2"/>
      <x:c r="K128" s="1"/>
      <x:c r="L128" s="1"/>
    </x:row>
    <x:row r="129" ht="21" customHeight="1">
      <x:c r="A129" s="1"/>
      <x:c r="B129" s="1"/>
      <x:c r="C129" s="1"/>
      <x:c r="D129" s="2"/>
      <x:c r="E129" s="2"/>
      <x:c r="F129" s="2"/>
      <x:c r="G129" s="2"/>
      <x:c r="H129" s="2"/>
      <x:c r="I129" s="2"/>
      <x:c r="J129" s="2"/>
      <x:c r="K129" s="1"/>
      <x:c r="L129" s="1"/>
    </x:row>
    <x:row r="130" ht="21" customHeight="1">
      <x:c r="A130" s="1"/>
      <x:c r="B130" s="1"/>
      <x:c r="C130" s="1"/>
      <x:c r="D130" s="2"/>
      <x:c r="E130" s="2"/>
      <x:c r="F130" s="2"/>
      <x:c r="G130" s="2"/>
      <x:c r="H130" s="2"/>
      <x:c r="I130" s="2"/>
      <x:c r="J130" s="2"/>
      <x:c r="K130" s="1"/>
      <x:c r="L130" s="1"/>
    </x:row>
    <x:row r="131" ht="21" customHeight="1">
      <x:c r="A131" s="1"/>
      <x:c r="B131" s="1"/>
      <x:c r="C131" s="1"/>
      <x:c r="D131" s="2"/>
      <x:c r="E131" s="2"/>
      <x:c r="F131" s="2"/>
      <x:c r="G131" s="2"/>
      <x:c r="H131" s="2"/>
      <x:c r="I131" s="2"/>
      <x:c r="J131" s="2"/>
      <x:c r="K131" s="1"/>
      <x:c r="L131" s="1"/>
    </x:row>
    <x:row r="132" ht="21" customHeight="1">
      <x:c r="A132" s="1"/>
      <x:c r="B132" s="1"/>
      <x:c r="C132" s="1"/>
      <x:c r="D132" s="2"/>
      <x:c r="E132" s="2"/>
      <x:c r="F132" s="2"/>
      <x:c r="G132" s="2"/>
      <x:c r="H132" s="2"/>
      <x:c r="I132" s="2"/>
      <x:c r="J132" s="2"/>
      <x:c r="K132" s="1"/>
      <x:c r="L132" s="1"/>
    </x:row>
    <x:row r="133" ht="21" customHeight="1">
      <x:c r="A133" s="1"/>
      <x:c r="B133" s="1"/>
      <x:c r="C133" s="1"/>
      <x:c r="D133" s="2"/>
      <x:c r="E133" s="2"/>
      <x:c r="F133" s="2"/>
      <x:c r="G133" s="2"/>
      <x:c r="H133" s="2"/>
      <x:c r="I133" s="2"/>
      <x:c r="J133" s="2"/>
      <x:c r="K133" s="1"/>
      <x:c r="L133" s="1"/>
    </x:row>
    <x:row r="134" ht="21" customHeight="1">
      <x:c r="A134" s="1"/>
      <x:c r="B134" s="1"/>
      <x:c r="C134" s="1"/>
      <x:c r="D134" s="2"/>
      <x:c r="E134" s="2"/>
      <x:c r="F134" s="2"/>
      <x:c r="G134" s="2"/>
      <x:c r="H134" s="2"/>
      <x:c r="I134" s="2"/>
      <x:c r="J134" s="2"/>
      <x:c r="K134" s="1"/>
      <x:c r="L134" s="1"/>
    </x:row>
    <x:row r="135" ht="21" customHeight="1">
      <x:c r="A135" s="1"/>
      <x:c r="B135" s="1"/>
      <x:c r="C135" s="1"/>
      <x:c r="D135" s="2"/>
      <x:c r="E135" s="2"/>
      <x:c r="F135" s="2"/>
      <x:c r="G135" s="2"/>
      <x:c r="H135" s="2"/>
      <x:c r="I135" s="2"/>
      <x:c r="J135" s="2"/>
      <x:c r="K135" s="1"/>
      <x:c r="L135" s="1"/>
    </x:row>
    <x:row r="136" ht="21" customHeight="1">
      <x:c r="A136" s="1"/>
      <x:c r="B136" s="1"/>
      <x:c r="C136" s="1"/>
      <x:c r="D136" s="2"/>
      <x:c r="E136" s="2"/>
      <x:c r="F136" s="2"/>
      <x:c r="G136" s="2"/>
      <x:c r="H136" s="2"/>
      <x:c r="I136" s="2"/>
      <x:c r="J136" s="2"/>
      <x:c r="K136" s="1"/>
      <x:c r="L136" s="1"/>
    </x:row>
    <x:row r="137" ht="21" customHeight="1">
      <x:c r="A137" s="1"/>
      <x:c r="B137" s="1"/>
      <x:c r="C137" s="1"/>
      <x:c r="D137" s="2"/>
      <x:c r="E137" s="2"/>
      <x:c r="F137" s="2"/>
      <x:c r="G137" s="2"/>
      <x:c r="H137" s="2"/>
      <x:c r="I137" s="2"/>
      <x:c r="J137" s="2"/>
      <x:c r="K137" s="1"/>
      <x:c r="L137" s="1"/>
    </x:row>
    <x:row r="138" ht="21" customHeight="1">
      <x:c r="A138" s="1"/>
      <x:c r="B138" s="1"/>
      <x:c r="C138" s="1"/>
      <x:c r="D138" s="2"/>
      <x:c r="E138" s="2"/>
      <x:c r="F138" s="2"/>
      <x:c r="G138" s="2"/>
      <x:c r="H138" s="2"/>
      <x:c r="I138" s="2"/>
      <x:c r="J138" s="2"/>
      <x:c r="K138" s="1"/>
      <x:c r="L138" s="1"/>
    </x:row>
    <x:row r="139" ht="21" customHeight="1">
      <x:c r="A139" s="1"/>
      <x:c r="B139" s="1"/>
      <x:c r="C139" s="1"/>
      <x:c r="D139" s="2"/>
      <x:c r="E139" s="2"/>
      <x:c r="F139" s="2"/>
      <x:c r="G139" s="2"/>
      <x:c r="H139" s="2"/>
      <x:c r="I139" s="2"/>
      <x:c r="J139" s="2"/>
      <x:c r="K139" s="1"/>
      <x:c r="L139" s="1"/>
    </x:row>
    <x:row r="140" ht="21" customHeight="1">
      <x:c r="A140" s="1"/>
      <x:c r="B140" s="1"/>
      <x:c r="C140" s="1"/>
      <x:c r="D140" s="2"/>
      <x:c r="E140" s="2"/>
      <x:c r="F140" s="2"/>
      <x:c r="G140" s="2"/>
      <x:c r="H140" s="2"/>
      <x:c r="I140" s="2"/>
      <x:c r="J140" s="2"/>
      <x:c r="K140" s="1"/>
      <x:c r="L140" s="1"/>
    </x:row>
    <x:row r="141" ht="21" customHeight="1">
      <x:c r="A141" s="1"/>
      <x:c r="B141" s="1"/>
      <x:c r="C141" s="1"/>
      <x:c r="D141" s="2"/>
      <x:c r="E141" s="2"/>
      <x:c r="F141" s="2"/>
      <x:c r="G141" s="2"/>
      <x:c r="H141" s="2"/>
      <x:c r="I141" s="2"/>
      <x:c r="J141" s="2"/>
      <x:c r="K141" s="1"/>
      <x:c r="L141" s="1"/>
    </x:row>
    <x:row r="142" ht="21" customHeight="1">
      <x:c r="A142" s="1"/>
      <x:c r="B142" s="1"/>
      <x:c r="C142" s="1"/>
      <x:c r="D142" s="2"/>
      <x:c r="E142" s="2"/>
      <x:c r="F142" s="2"/>
      <x:c r="G142" s="2"/>
      <x:c r="H142" s="2"/>
      <x:c r="I142" s="2"/>
      <x:c r="J142" s="2"/>
      <x:c r="K142" s="1"/>
      <x:c r="L142" s="1"/>
    </x:row>
    <x:row r="143" ht="21" customHeight="1">
      <x:c r="A143" s="1"/>
      <x:c r="B143" s="1"/>
      <x:c r="C143" s="1"/>
      <x:c r="D143" s="2"/>
      <x:c r="E143" s="2"/>
      <x:c r="F143" s="2"/>
      <x:c r="G143" s="2"/>
      <x:c r="H143" s="2"/>
      <x:c r="I143" s="2"/>
      <x:c r="J143" s="2"/>
      <x:c r="K143" s="1"/>
      <x:c r="L143" s="1"/>
    </x:row>
    <x:row r="144" ht="21" customHeight="1">
      <x:c r="A144" s="1"/>
      <x:c r="B144" s="1"/>
      <x:c r="C144" s="1"/>
      <x:c r="D144" s="2"/>
      <x:c r="E144" s="2"/>
      <x:c r="F144" s="2"/>
      <x:c r="G144" s="2"/>
      <x:c r="H144" s="2"/>
      <x:c r="I144" s="2"/>
      <x:c r="J144" s="2"/>
      <x:c r="K144" s="1"/>
      <x:c r="L144" s="1"/>
    </x:row>
    <x:row r="145" ht="21" customHeight="1">
      <x:c r="A145" s="1"/>
      <x:c r="B145" s="1"/>
      <x:c r="C145" s="1"/>
      <x:c r="D145" s="2"/>
      <x:c r="E145" s="2"/>
      <x:c r="F145" s="2"/>
      <x:c r="G145" s="2"/>
      <x:c r="H145" s="2"/>
      <x:c r="I145" s="2"/>
      <x:c r="J145" s="2"/>
      <x:c r="K145" s="1"/>
      <x:c r="L145" s="1"/>
    </x:row>
    <x:row r="146" ht="21" customHeight="1">
      <x:c r="A146" s="1"/>
      <x:c r="B146" s="1"/>
      <x:c r="C146" s="1"/>
      <x:c r="D146" s="2"/>
      <x:c r="E146" s="2"/>
      <x:c r="F146" s="2"/>
      <x:c r="G146" s="2"/>
      <x:c r="H146" s="2"/>
      <x:c r="I146" s="2"/>
      <x:c r="J146" s="2"/>
      <x:c r="K146" s="1"/>
      <x:c r="L146" s="1"/>
    </x:row>
    <x:row r="147" ht="21" customHeight="1">
      <x:c r="A147" s="1"/>
      <x:c r="B147" s="1"/>
      <x:c r="C147" s="1"/>
      <x:c r="D147" s="2"/>
      <x:c r="E147" s="2"/>
      <x:c r="F147" s="2"/>
      <x:c r="G147" s="2"/>
      <x:c r="H147" s="2"/>
      <x:c r="I147" s="2"/>
      <x:c r="J147" s="2"/>
      <x:c r="K147" s="1"/>
      <x:c r="L147" s="1"/>
    </x:row>
    <x:row r="148" ht="21" customHeight="1">
      <x:c r="A148" s="1"/>
      <x:c r="B148" s="1"/>
      <x:c r="C148" s="1"/>
      <x:c r="D148" s="2"/>
      <x:c r="E148" s="2"/>
      <x:c r="F148" s="2"/>
      <x:c r="G148" s="2"/>
      <x:c r="H148" s="2"/>
      <x:c r="I148" s="2"/>
      <x:c r="J148" s="2"/>
      <x:c r="K148" s="1"/>
      <x:c r="L148" s="1"/>
    </x:row>
    <x:row r="149" ht="21" customHeight="1">
      <x:c r="A149" s="1"/>
      <x:c r="B149" s="1"/>
      <x:c r="C149" s="1"/>
      <x:c r="D149" s="2"/>
      <x:c r="E149" s="2"/>
      <x:c r="F149" s="2"/>
      <x:c r="G149" s="2"/>
      <x:c r="H149" s="2"/>
      <x:c r="I149" s="2"/>
      <x:c r="J149" s="2"/>
      <x:c r="K149" s="1"/>
      <x:c r="L149" s="1"/>
    </x:row>
    <x:row r="150" ht="21" customHeight="1">
      <x:c r="A150" s="1"/>
      <x:c r="B150" s="1"/>
      <x:c r="C150" s="1"/>
      <x:c r="D150" s="2"/>
      <x:c r="E150" s="2"/>
      <x:c r="F150" s="2"/>
      <x:c r="G150" s="2"/>
      <x:c r="H150" s="2"/>
      <x:c r="I150" s="2"/>
      <x:c r="J150" s="2"/>
      <x:c r="K150" s="1"/>
      <x:c r="L150" s="1"/>
    </x:row>
    <x:row r="151" ht="21" customHeight="1">
      <x:c r="A151" s="1"/>
      <x:c r="B151" s="1"/>
      <x:c r="C151" s="1"/>
      <x:c r="D151" s="2"/>
      <x:c r="E151" s="2"/>
      <x:c r="F151" s="2"/>
      <x:c r="G151" s="2"/>
      <x:c r="H151" s="2"/>
      <x:c r="I151" s="2"/>
      <x:c r="J151" s="2"/>
      <x:c r="K151" s="1"/>
      <x:c r="L151" s="1"/>
    </x:row>
    <x:row r="152" ht="21" customHeight="1">
      <x:c r="A152" s="1"/>
      <x:c r="B152" s="1"/>
      <x:c r="C152" s="1"/>
      <x:c r="D152" s="2"/>
      <x:c r="E152" s="2"/>
      <x:c r="F152" s="2"/>
      <x:c r="G152" s="2"/>
      <x:c r="H152" s="2"/>
      <x:c r="I152" s="2"/>
      <x:c r="J152" s="2"/>
      <x:c r="K152" s="1"/>
      <x:c r="L152" s="1"/>
    </x:row>
    <x:row r="153" ht="21" customHeight="1">
      <x:c r="A153" s="1"/>
      <x:c r="B153" s="1"/>
      <x:c r="C153" s="1"/>
      <x:c r="D153" s="2"/>
      <x:c r="E153" s="2"/>
      <x:c r="F153" s="2"/>
      <x:c r="G153" s="2"/>
      <x:c r="H153" s="2"/>
      <x:c r="I153" s="2"/>
      <x:c r="J153" s="2"/>
      <x:c r="K153" s="1"/>
      <x:c r="L153" s="1"/>
    </x:row>
    <x:row r="154" ht="21" customHeight="1">
      <x:c r="A154" s="1"/>
      <x:c r="B154" s="1"/>
      <x:c r="C154" s="1"/>
      <x:c r="D154" s="2"/>
      <x:c r="E154" s="2"/>
      <x:c r="F154" s="2"/>
      <x:c r="G154" s="2"/>
      <x:c r="H154" s="2"/>
      <x:c r="I154" s="2"/>
      <x:c r="J154" s="2"/>
      <x:c r="K154" s="1"/>
      <x:c r="L154" s="1"/>
    </x:row>
    <x:row r="155" ht="21" customHeight="1">
      <x:c r="A155" s="1"/>
      <x:c r="B155" s="1"/>
      <x:c r="C155" s="1"/>
      <x:c r="D155" s="2"/>
      <x:c r="E155" s="2"/>
      <x:c r="F155" s="2"/>
      <x:c r="G155" s="2"/>
      <x:c r="H155" s="2"/>
      <x:c r="I155" s="2"/>
      <x:c r="J155" s="2"/>
      <x:c r="K155" s="1"/>
      <x:c r="L155" s="1"/>
    </x:row>
    <x:row r="156" ht="21" customHeight="1">
      <x:c r="A156" s="1"/>
      <x:c r="B156" s="1"/>
      <x:c r="C156" s="1"/>
      <x:c r="D156" s="2"/>
      <x:c r="E156" s="2"/>
      <x:c r="F156" s="2"/>
      <x:c r="G156" s="2"/>
      <x:c r="H156" s="2"/>
      <x:c r="I156" s="2"/>
      <x:c r="J156" s="2"/>
      <x:c r="K156" s="1"/>
      <x:c r="L156" s="1"/>
    </x:row>
    <x:row r="157" ht="21" customHeight="1">
      <x:c r="A157" s="1"/>
      <x:c r="B157" s="1"/>
      <x:c r="C157" s="1"/>
      <x:c r="D157" s="2"/>
      <x:c r="E157" s="2"/>
      <x:c r="F157" s="2"/>
      <x:c r="G157" s="2"/>
      <x:c r="H157" s="2"/>
      <x:c r="I157" s="2"/>
      <x:c r="J157" s="2"/>
      <x:c r="K157" s="1"/>
      <x:c r="L157" s="1"/>
    </x:row>
    <x:row r="158" ht="21" customHeight="1">
      <x:c r="A158" s="1"/>
      <x:c r="B158" s="1"/>
      <x:c r="C158" s="1"/>
      <x:c r="D158" s="2"/>
      <x:c r="E158" s="2"/>
      <x:c r="F158" s="2"/>
      <x:c r="G158" s="2"/>
      <x:c r="H158" s="2"/>
      <x:c r="I158" s="2"/>
      <x:c r="J158" s="2"/>
      <x:c r="K158" s="1"/>
      <x:c r="L158" s="1"/>
    </x:row>
    <x:row r="159" ht="21" customHeight="1">
      <x:c r="A159" s="1"/>
      <x:c r="B159" s="1"/>
      <x:c r="C159" s="1"/>
      <x:c r="D159" s="2"/>
      <x:c r="E159" s="2"/>
      <x:c r="F159" s="2"/>
      <x:c r="G159" s="2"/>
      <x:c r="H159" s="2"/>
      <x:c r="I159" s="2"/>
      <x:c r="J159" s="2"/>
      <x:c r="K159" s="1"/>
      <x:c r="L159" s="1"/>
    </x:row>
    <x:row r="160" ht="21" customHeight="1">
      <x:c r="A160" s="1"/>
      <x:c r="B160" s="1"/>
      <x:c r="C160" s="1"/>
      <x:c r="D160" s="2"/>
      <x:c r="E160" s="2"/>
      <x:c r="F160" s="2"/>
      <x:c r="G160" s="2"/>
      <x:c r="H160" s="2"/>
      <x:c r="I160" s="2"/>
      <x:c r="J160" s="2"/>
      <x:c r="K160" s="1"/>
      <x:c r="L160" s="1"/>
    </x:row>
    <x:row r="161" ht="21" customHeight="1">
      <x:c r="A161" s="1"/>
      <x:c r="B161" s="1"/>
      <x:c r="C161" s="1"/>
      <x:c r="D161" s="2"/>
      <x:c r="E161" s="2"/>
      <x:c r="F161" s="2"/>
      <x:c r="G161" s="2"/>
      <x:c r="H161" s="2"/>
      <x:c r="I161" s="2"/>
      <x:c r="J161" s="2"/>
      <x:c r="K161" s="1"/>
      <x:c r="L161" s="1"/>
    </x:row>
    <x:row r="162" ht="21" customHeight="1">
      <x:c r="A162" s="1"/>
      <x:c r="B162" s="1"/>
      <x:c r="C162" s="1"/>
      <x:c r="D162" s="2"/>
      <x:c r="E162" s="2"/>
      <x:c r="F162" s="2"/>
      <x:c r="G162" s="2"/>
      <x:c r="H162" s="2"/>
      <x:c r="I162" s="2"/>
      <x:c r="J162" s="2"/>
      <x:c r="K162" s="1"/>
      <x:c r="L162" s="1"/>
    </x:row>
    <x:row r="163" ht="21" customHeight="1">
      <x:c r="A163" s="1"/>
      <x:c r="B163" s="1"/>
      <x:c r="C163" s="1"/>
      <x:c r="D163" s="2"/>
      <x:c r="E163" s="2"/>
      <x:c r="F163" s="2"/>
      <x:c r="G163" s="2"/>
      <x:c r="H163" s="2"/>
      <x:c r="I163" s="2"/>
      <x:c r="J163" s="2"/>
      <x:c r="K163" s="1"/>
      <x:c r="L163" s="1"/>
    </x:row>
    <x:row r="164" ht="21" customHeight="1">
      <x:c r="A164" s="1"/>
      <x:c r="B164" s="1"/>
      <x:c r="C164" s="1"/>
      <x:c r="D164" s="2"/>
      <x:c r="E164" s="2"/>
      <x:c r="F164" s="2"/>
      <x:c r="G164" s="2"/>
      <x:c r="H164" s="2"/>
      <x:c r="I164" s="2"/>
      <x:c r="J164" s="2"/>
      <x:c r="K164" s="1"/>
      <x:c r="L164" s="1"/>
    </x:row>
    <x:row r="165" ht="21" customHeight="1">
      <x:c r="A165" s="1"/>
      <x:c r="B165" s="1"/>
      <x:c r="C165" s="1"/>
      <x:c r="D165" s="2"/>
      <x:c r="E165" s="2"/>
      <x:c r="F165" s="2"/>
      <x:c r="G165" s="2"/>
      <x:c r="H165" s="2"/>
      <x:c r="I165" s="2"/>
      <x:c r="J165" s="2"/>
      <x:c r="K165" s="1"/>
      <x:c r="L165" s="1"/>
    </x:row>
    <x:row r="166" ht="21" customHeight="1">
      <x:c r="A166" s="1"/>
      <x:c r="B166" s="1"/>
      <x:c r="C166" s="1"/>
      <x:c r="D166" s="2"/>
      <x:c r="E166" s="2"/>
      <x:c r="F166" s="2"/>
      <x:c r="G166" s="2"/>
      <x:c r="H166" s="2"/>
      <x:c r="I166" s="2"/>
      <x:c r="J166" s="2"/>
      <x:c r="K166" s="1"/>
      <x:c r="L166" s="1"/>
    </x:row>
    <x:row r="167" ht="21" customHeight="1">
      <x:c r="A167" s="1"/>
      <x:c r="B167" s="1"/>
      <x:c r="C167" s="1"/>
      <x:c r="D167" s="2"/>
      <x:c r="E167" s="2"/>
      <x:c r="F167" s="2"/>
      <x:c r="G167" s="2"/>
      <x:c r="H167" s="2"/>
      <x:c r="I167" s="2"/>
      <x:c r="J167" s="2"/>
      <x:c r="K167" s="1"/>
      <x:c r="L167" s="1"/>
    </x:row>
    <x:row r="168" ht="21" customHeight="1">
      <x:c r="A168" s="1"/>
      <x:c r="B168" s="1"/>
      <x:c r="C168" s="1"/>
      <x:c r="D168" s="2"/>
      <x:c r="E168" s="2"/>
      <x:c r="F168" s="2"/>
      <x:c r="G168" s="2"/>
      <x:c r="H168" s="2"/>
      <x:c r="I168" s="2"/>
      <x:c r="J168" s="2"/>
      <x:c r="K168" s="1"/>
      <x:c r="L168" s="1"/>
    </x:row>
    <x:row r="169" ht="21" customHeight="1">
      <x:c r="A169" s="1"/>
      <x:c r="B169" s="1"/>
      <x:c r="C169" s="1"/>
      <x:c r="D169" s="2"/>
      <x:c r="E169" s="2"/>
      <x:c r="F169" s="2"/>
      <x:c r="G169" s="2"/>
      <x:c r="H169" s="2"/>
      <x:c r="I169" s="2"/>
      <x:c r="J169" s="2"/>
      <x:c r="K169" s="1"/>
      <x:c r="L169" s="1"/>
    </x:row>
    <x:row r="170" ht="21" customHeight="1">
      <x:c r="A170" s="1"/>
      <x:c r="B170" s="1"/>
      <x:c r="C170" s="1"/>
      <x:c r="D170" s="2"/>
      <x:c r="E170" s="2"/>
      <x:c r="F170" s="2"/>
      <x:c r="G170" s="2"/>
      <x:c r="H170" s="2"/>
      <x:c r="I170" s="2"/>
      <x:c r="J170" s="2"/>
      <x:c r="K170" s="1"/>
      <x:c r="L170" s="1"/>
    </x:row>
    <x:row r="171" ht="21" customHeight="1">
      <x:c r="A171" s="1"/>
      <x:c r="B171" s="1"/>
      <x:c r="C171" s="1"/>
      <x:c r="D171" s="2"/>
      <x:c r="E171" s="2"/>
      <x:c r="F171" s="2"/>
      <x:c r="G171" s="2"/>
      <x:c r="H171" s="2"/>
      <x:c r="I171" s="2"/>
      <x:c r="J171" s="2"/>
      <x:c r="K171" s="1"/>
      <x:c r="L171" s="1"/>
    </x:row>
    <x:row r="172" ht="21" customHeight="1">
      <x:c r="A172" s="1"/>
      <x:c r="B172" s="1"/>
      <x:c r="C172" s="1"/>
      <x:c r="D172" s="2"/>
      <x:c r="E172" s="2"/>
      <x:c r="F172" s="2"/>
      <x:c r="G172" s="2"/>
      <x:c r="H172" s="2"/>
      <x:c r="I172" s="2"/>
      <x:c r="J172" s="2"/>
      <x:c r="K172" s="1"/>
      <x:c r="L172" s="1"/>
    </x:row>
    <x:row r="173" ht="21" customHeight="1">
      <x:c r="A173" s="1"/>
      <x:c r="B173" s="1"/>
      <x:c r="C173" s="1"/>
      <x:c r="D173" s="2"/>
      <x:c r="E173" s="2"/>
      <x:c r="F173" s="2"/>
      <x:c r="G173" s="2"/>
      <x:c r="H173" s="2"/>
      <x:c r="I173" s="2"/>
      <x:c r="J173" s="2"/>
      <x:c r="K173" s="1"/>
      <x:c r="L173" s="1"/>
    </x:row>
    <x:row r="174" ht="21" customHeight="1">
      <x:c r="A174" s="1"/>
      <x:c r="B174" s="1"/>
      <x:c r="C174" s="1"/>
      <x:c r="D174" s="2"/>
      <x:c r="E174" s="2"/>
      <x:c r="F174" s="2"/>
      <x:c r="G174" s="2"/>
      <x:c r="H174" s="2"/>
      <x:c r="I174" s="2"/>
      <x:c r="J174" s="2"/>
      <x:c r="K174" s="1"/>
      <x:c r="L174" s="1"/>
    </x:row>
    <x:row r="175" ht="21" customHeight="1">
      <x:c r="A175" s="1"/>
      <x:c r="B175" s="1"/>
      <x:c r="C175" s="1"/>
      <x:c r="D175" s="2"/>
      <x:c r="E175" s="2"/>
      <x:c r="F175" s="2"/>
      <x:c r="G175" s="2"/>
      <x:c r="H175" s="2"/>
      <x:c r="I175" s="2"/>
      <x:c r="J175" s="2"/>
      <x:c r="K175" s="1"/>
      <x:c r="L175" s="1"/>
    </x:row>
    <x:row r="176" ht="21" customHeight="1">
      <x:c r="A176" s="1"/>
      <x:c r="B176" s="1"/>
      <x:c r="C176" s="1"/>
      <x:c r="D176" s="2"/>
      <x:c r="E176" s="2"/>
      <x:c r="F176" s="2"/>
      <x:c r="G176" s="2"/>
      <x:c r="H176" s="2"/>
      <x:c r="I176" s="2"/>
      <x:c r="J176" s="2"/>
      <x:c r="K176" s="1"/>
      <x:c r="L176" s="1"/>
    </x:row>
    <x:row r="177" ht="21" customHeight="1">
      <x:c r="A177" s="1"/>
      <x:c r="B177" s="1"/>
      <x:c r="C177" s="1"/>
      <x:c r="D177" s="2"/>
      <x:c r="E177" s="2"/>
      <x:c r="F177" s="2"/>
      <x:c r="G177" s="2"/>
      <x:c r="H177" s="2"/>
      <x:c r="I177" s="2"/>
      <x:c r="J177" s="2"/>
      <x:c r="K177" s="1"/>
      <x:c r="L177" s="1"/>
    </x:row>
    <x:row r="178" ht="21" customHeight="1">
      <x:c r="A178" s="1"/>
      <x:c r="B178" s="1"/>
      <x:c r="C178" s="1"/>
      <x:c r="D178" s="2"/>
      <x:c r="E178" s="2"/>
      <x:c r="F178" s="2"/>
      <x:c r="G178" s="2"/>
      <x:c r="H178" s="2"/>
      <x:c r="I178" s="2"/>
      <x:c r="J178" s="2"/>
      <x:c r="K178" s="1"/>
      <x:c r="L178" s="1"/>
    </x:row>
    <x:row r="179" ht="21" customHeight="1">
      <x:c r="A179" s="1"/>
      <x:c r="B179" s="1"/>
      <x:c r="C179" s="1"/>
      <x:c r="D179" s="2"/>
      <x:c r="E179" s="2"/>
      <x:c r="F179" s="2"/>
      <x:c r="G179" s="2"/>
      <x:c r="H179" s="2"/>
      <x:c r="I179" s="2"/>
      <x:c r="J179" s="2"/>
      <x:c r="K179" s="1"/>
      <x:c r="L179" s="1"/>
    </x:row>
    <x:row r="180" ht="21" customHeight="1">
      <x:c r="A180" s="1"/>
      <x:c r="B180" s="1"/>
      <x:c r="C180" s="1"/>
      <x:c r="D180" s="2"/>
      <x:c r="E180" s="2"/>
      <x:c r="F180" s="2"/>
      <x:c r="G180" s="2"/>
      <x:c r="H180" s="2"/>
      <x:c r="I180" s="2"/>
      <x:c r="J180" s="2"/>
      <x:c r="K180" s="1"/>
      <x:c r="L180" s="1"/>
    </x:row>
    <x:row r="181" ht="21" customHeight="1">
      <x:c r="A181" s="1"/>
      <x:c r="B181" s="1"/>
      <x:c r="C181" s="1"/>
      <x:c r="D181" s="2"/>
      <x:c r="E181" s="2"/>
      <x:c r="F181" s="2"/>
      <x:c r="G181" s="2"/>
      <x:c r="H181" s="2"/>
      <x:c r="I181" s="2"/>
      <x:c r="J181" s="2"/>
      <x:c r="K181" s="1"/>
      <x:c r="L181" s="1"/>
    </x:row>
    <x:row r="182" ht="21" customHeight="1">
      <x:c r="A182" s="1"/>
      <x:c r="B182" s="1"/>
      <x:c r="C182" s="1"/>
      <x:c r="D182" s="2"/>
      <x:c r="E182" s="2"/>
      <x:c r="F182" s="2"/>
      <x:c r="G182" s="2"/>
      <x:c r="H182" s="2"/>
      <x:c r="I182" s="2"/>
      <x:c r="J182" s="2"/>
      <x:c r="K182" s="1"/>
      <x:c r="L182" s="1"/>
    </x:row>
    <x:row r="183" ht="21" customHeight="1">
      <x:c r="A183" s="1"/>
      <x:c r="B183" s="1"/>
      <x:c r="C183" s="1"/>
      <x:c r="D183" s="2"/>
      <x:c r="E183" s="2"/>
      <x:c r="F183" s="2"/>
      <x:c r="G183" s="2"/>
      <x:c r="H183" s="2"/>
      <x:c r="I183" s="2"/>
      <x:c r="J183" s="2"/>
      <x:c r="K183" s="1"/>
      <x:c r="L183" s="1"/>
    </x:row>
    <x:row r="184" ht="21" customHeight="1">
      <x:c r="A184" s="1"/>
      <x:c r="B184" s="1"/>
      <x:c r="C184" s="1"/>
      <x:c r="D184" s="2"/>
      <x:c r="E184" s="2"/>
      <x:c r="F184" s="2"/>
      <x:c r="G184" s="2"/>
      <x:c r="H184" s="2"/>
      <x:c r="I184" s="2"/>
      <x:c r="J184" s="2"/>
      <x:c r="K184" s="1"/>
      <x:c r="L184" s="1"/>
    </x:row>
    <x:row r="185" ht="21" customHeight="1">
      <x:c r="A185" s="1"/>
      <x:c r="B185" s="1"/>
      <x:c r="C185" s="1"/>
      <x:c r="D185" s="2"/>
      <x:c r="E185" s="2"/>
      <x:c r="F185" s="2"/>
      <x:c r="G185" s="2"/>
      <x:c r="H185" s="2"/>
      <x:c r="I185" s="2"/>
      <x:c r="J185" s="2"/>
      <x:c r="K185" s="1"/>
      <x:c r="L185" s="1"/>
    </x:row>
    <x:row r="186" ht="21" customHeight="1">
      <x:c r="A186" s="1"/>
      <x:c r="B186" s="1"/>
      <x:c r="C186" s="1"/>
      <x:c r="D186" s="2"/>
      <x:c r="E186" s="2"/>
      <x:c r="F186" s="2"/>
      <x:c r="G186" s="2"/>
      <x:c r="H186" s="2"/>
      <x:c r="I186" s="2"/>
      <x:c r="J186" s="2"/>
      <x:c r="K186" s="1"/>
      <x:c r="L186" s="1"/>
    </x:row>
    <x:row r="187" ht="21" customHeight="1">
      <x:c r="A187" s="1"/>
      <x:c r="B187" s="1"/>
      <x:c r="C187" s="1"/>
      <x:c r="D187" s="2"/>
      <x:c r="E187" s="2"/>
      <x:c r="F187" s="2"/>
      <x:c r="G187" s="2"/>
      <x:c r="H187" s="2"/>
      <x:c r="I187" s="2"/>
      <x:c r="J187" s="2"/>
      <x:c r="K187" s="1"/>
      <x:c r="L187" s="1"/>
    </x:row>
    <x:row r="188" ht="21" customHeight="1">
      <x:c r="A188" s="1"/>
      <x:c r="B188" s="1"/>
      <x:c r="C188" s="1"/>
      <x:c r="D188" s="2"/>
      <x:c r="E188" s="2"/>
      <x:c r="F188" s="2"/>
      <x:c r="G188" s="2"/>
      <x:c r="H188" s="2"/>
      <x:c r="I188" s="2"/>
      <x:c r="J188" s="2"/>
      <x:c r="K188" s="1"/>
      <x:c r="L188" s="1"/>
    </x:row>
    <x:row r="189" ht="21" customHeight="1">
      <x:c r="A189" s="1"/>
      <x:c r="B189" s="1"/>
      <x:c r="C189" s="1"/>
      <x:c r="D189" s="2"/>
      <x:c r="E189" s="2"/>
      <x:c r="F189" s="2"/>
      <x:c r="G189" s="2"/>
      <x:c r="H189" s="2"/>
      <x:c r="I189" s="2"/>
      <x:c r="J189" s="2"/>
      <x:c r="K189" s="1"/>
      <x:c r="L189" s="1"/>
    </x:row>
    <x:row r="190" ht="21" customHeight="1">
      <x:c r="A190" s="1"/>
      <x:c r="B190" s="1"/>
      <x:c r="C190" s="1"/>
      <x:c r="D190" s="2"/>
      <x:c r="E190" s="2"/>
      <x:c r="F190" s="2"/>
      <x:c r="G190" s="2"/>
      <x:c r="H190" s="2"/>
      <x:c r="I190" s="2"/>
      <x:c r="J190" s="2"/>
      <x:c r="K190" s="1"/>
      <x:c r="L190" s="1"/>
    </x:row>
    <x:row r="191" ht="21" customHeight="1">
      <x:c r="A191" s="1"/>
      <x:c r="B191" s="1"/>
      <x:c r="C191" s="1"/>
      <x:c r="D191" s="2"/>
      <x:c r="E191" s="2"/>
      <x:c r="F191" s="2"/>
      <x:c r="G191" s="2"/>
      <x:c r="H191" s="2"/>
      <x:c r="I191" s="2"/>
      <x:c r="J191" s="2"/>
      <x:c r="K191" s="1"/>
      <x:c r="L191" s="1"/>
    </x:row>
    <x:row r="192" ht="21" customHeight="1">
      <x:c r="A192" s="1"/>
      <x:c r="B192" s="1"/>
      <x:c r="C192" s="1"/>
      <x:c r="D192" s="2"/>
      <x:c r="E192" s="2"/>
      <x:c r="F192" s="2"/>
      <x:c r="G192" s="2"/>
      <x:c r="H192" s="2"/>
      <x:c r="I192" s="2"/>
      <x:c r="J192" s="2"/>
      <x:c r="K192" s="1"/>
      <x:c r="L192" s="1"/>
    </x:row>
    <x:row r="193" ht="21" customHeight="1">
      <x:c r="A193" s="1"/>
      <x:c r="B193" s="1"/>
      <x:c r="C193" s="1"/>
      <x:c r="D193" s="2"/>
      <x:c r="E193" s="2"/>
      <x:c r="F193" s="2"/>
      <x:c r="G193" s="2"/>
      <x:c r="H193" s="2"/>
      <x:c r="I193" s="2"/>
      <x:c r="J193" s="2"/>
      <x:c r="K193" s="1"/>
      <x:c r="L193" s="1"/>
    </x:row>
    <x:row r="194" ht="21" customHeight="1">
      <x:c r="A194" s="1"/>
      <x:c r="B194" s="1"/>
      <x:c r="C194" s="1"/>
      <x:c r="D194" s="2"/>
      <x:c r="E194" s="2"/>
      <x:c r="F194" s="2"/>
      <x:c r="G194" s="2"/>
      <x:c r="H194" s="2"/>
      <x:c r="I194" s="2"/>
      <x:c r="J194" s="2"/>
      <x:c r="K194" s="1"/>
      <x:c r="L194" s="1"/>
    </x:row>
    <x:row r="195" ht="21" customHeight="1">
      <x:c r="A195" s="1"/>
      <x:c r="B195" s="1"/>
      <x:c r="C195" s="1"/>
      <x:c r="D195" s="2"/>
      <x:c r="E195" s="2"/>
      <x:c r="F195" s="2"/>
      <x:c r="G195" s="2"/>
      <x:c r="H195" s="2"/>
      <x:c r="I195" s="2"/>
      <x:c r="J195" s="2"/>
      <x:c r="K195" s="1"/>
      <x:c r="L195" s="1"/>
    </x:row>
    <x:row r="196" ht="21" customHeight="1">
      <x:c r="A196" s="1"/>
      <x:c r="B196" s="1"/>
      <x:c r="C196" s="1"/>
      <x:c r="D196" s="2"/>
      <x:c r="E196" s="2"/>
      <x:c r="F196" s="2"/>
      <x:c r="G196" s="2"/>
      <x:c r="H196" s="2"/>
      <x:c r="I196" s="2"/>
      <x:c r="J196" s="2"/>
      <x:c r="K196" s="1"/>
      <x:c r="L196" s="1"/>
    </x:row>
    <x:row r="197" ht="21" customHeight="1">
      <x:c r="A197" s="1"/>
      <x:c r="B197" s="1"/>
      <x:c r="C197" s="1"/>
      <x:c r="D197" s="2"/>
      <x:c r="E197" s="2"/>
      <x:c r="F197" s="2"/>
      <x:c r="G197" s="2"/>
      <x:c r="H197" s="2"/>
      <x:c r="I197" s="2"/>
      <x:c r="J197" s="2"/>
      <x:c r="K197" s="1"/>
      <x:c r="L197" s="1"/>
    </x:row>
    <x:row r="198" ht="21" customHeight="1">
      <x:c r="A198" s="1"/>
      <x:c r="B198" s="1"/>
      <x:c r="C198" s="1"/>
      <x:c r="D198" s="2"/>
      <x:c r="E198" s="2"/>
      <x:c r="F198" s="2"/>
      <x:c r="G198" s="2"/>
      <x:c r="H198" s="2"/>
      <x:c r="I198" s="2"/>
      <x:c r="J198" s="2"/>
      <x:c r="K198" s="1"/>
      <x:c r="L198" s="1"/>
    </x:row>
    <x:row r="199" ht="21" customHeight="1">
      <x:c r="A199" s="1"/>
      <x:c r="B199" s="1"/>
      <x:c r="C199" s="1"/>
      <x:c r="D199" s="2"/>
      <x:c r="E199" s="2"/>
      <x:c r="F199" s="2"/>
      <x:c r="G199" s="2"/>
      <x:c r="H199" s="2"/>
      <x:c r="I199" s="2"/>
      <x:c r="J199" s="2"/>
      <x:c r="K199" s="1"/>
      <x:c r="L199" s="1"/>
    </x:row>
    <x:row r="200" ht="21" customHeight="1">
      <x:c r="A200" s="1"/>
      <x:c r="B200" s="1"/>
      <x:c r="C200" s="1"/>
      <x:c r="D200" s="2"/>
      <x:c r="E200" s="2"/>
      <x:c r="F200" s="2"/>
      <x:c r="G200" s="2"/>
      <x:c r="H200" s="2"/>
      <x:c r="I200" s="2"/>
      <x:c r="J200" s="2"/>
      <x:c r="K200" s="1"/>
      <x:c r="L200" s="1"/>
    </x:row>
    <x:row r="201" ht="21" customHeight="1">
      <x:c r="A201" s="1"/>
      <x:c r="B201" s="1"/>
      <x:c r="C201" s="1"/>
      <x:c r="D201" s="2"/>
      <x:c r="E201" s="2"/>
      <x:c r="F201" s="2"/>
      <x:c r="G201" s="2"/>
      <x:c r="H201" s="2"/>
      <x:c r="I201" s="2"/>
      <x:c r="J201" s="2"/>
      <x:c r="K201" s="1"/>
      <x:c r="L201" s="1"/>
    </x:row>
    <x:row r="202" ht="21" customHeight="1">
      <x:c r="A202" s="1"/>
      <x:c r="B202" s="1"/>
      <x:c r="C202" s="1"/>
      <x:c r="D202" s="2"/>
      <x:c r="E202" s="2"/>
      <x:c r="F202" s="2"/>
      <x:c r="G202" s="2"/>
      <x:c r="H202" s="2"/>
      <x:c r="I202" s="2"/>
      <x:c r="J202" s="2"/>
      <x:c r="K202" s="1"/>
      <x:c r="L202" s="1"/>
    </x:row>
    <x:row r="203" ht="21" customHeight="1">
      <x:c r="A203" s="1"/>
      <x:c r="B203" s="1"/>
      <x:c r="C203" s="1"/>
      <x:c r="D203" s="2"/>
      <x:c r="E203" s="2"/>
      <x:c r="F203" s="2"/>
      <x:c r="G203" s="2"/>
      <x:c r="H203" s="2"/>
      <x:c r="I203" s="2"/>
      <x:c r="J203" s="2"/>
      <x:c r="K203" s="1"/>
      <x:c r="L203" s="1"/>
    </x:row>
    <x:row r="204" ht="21" customHeight="1">
      <x:c r="A204" s="1"/>
      <x:c r="B204" s="1"/>
      <x:c r="C204" s="1"/>
      <x:c r="D204" s="2"/>
      <x:c r="E204" s="2"/>
      <x:c r="F204" s="2"/>
      <x:c r="G204" s="2"/>
      <x:c r="H204" s="2"/>
      <x:c r="I204" s="2"/>
      <x:c r="J204" s="2"/>
      <x:c r="K204" s="1"/>
      <x:c r="L204" s="1"/>
    </x:row>
    <x:row r="205" ht="21" customHeight="1">
      <x:c r="A205" s="1"/>
      <x:c r="B205" s="1"/>
      <x:c r="C205" s="1"/>
      <x:c r="D205" s="2"/>
      <x:c r="E205" s="2"/>
      <x:c r="F205" s="2"/>
      <x:c r="G205" s="2"/>
      <x:c r="H205" s="2"/>
      <x:c r="I205" s="2"/>
      <x:c r="J205" s="2"/>
      <x:c r="K205" s="1"/>
      <x:c r="L205" s="1"/>
    </x:row>
    <x:row r="206" ht="21" customHeight="1">
      <x:c r="A206" s="1"/>
      <x:c r="B206" s="1"/>
      <x:c r="C206" s="1"/>
      <x:c r="D206" s="2"/>
      <x:c r="E206" s="2"/>
      <x:c r="F206" s="2"/>
      <x:c r="G206" s="2"/>
      <x:c r="H206" s="2"/>
      <x:c r="I206" s="2"/>
      <x:c r="J206" s="2"/>
      <x:c r="K206" s="1"/>
      <x:c r="L206" s="1"/>
    </x:row>
    <x:row r="207" ht="21" customHeight="1">
      <x:c r="A207" s="1"/>
      <x:c r="B207" s="1"/>
      <x:c r="C207" s="1"/>
      <x:c r="D207" s="2"/>
      <x:c r="E207" s="2"/>
      <x:c r="F207" s="2"/>
      <x:c r="G207" s="2"/>
      <x:c r="H207" s="2"/>
      <x:c r="I207" s="2"/>
      <x:c r="J207" s="2"/>
      <x:c r="K207" s="1"/>
      <x:c r="L207" s="1"/>
    </x:row>
    <x:row r="208" ht="21" customHeight="1">
      <x:c r="A208" s="1"/>
      <x:c r="B208" s="1"/>
      <x:c r="C208" s="1"/>
      <x:c r="D208" s="2"/>
      <x:c r="E208" s="2"/>
      <x:c r="F208" s="2"/>
      <x:c r="G208" s="2"/>
      <x:c r="H208" s="2"/>
      <x:c r="I208" s="2"/>
      <x:c r="J208" s="2"/>
      <x:c r="K208" s="1"/>
      <x:c r="L208" s="1"/>
    </x:row>
    <x:row r="209" ht="21" customHeight="1">
      <x:c r="A209" s="1"/>
      <x:c r="B209" s="1"/>
      <x:c r="C209" s="1"/>
      <x:c r="D209" s="2"/>
      <x:c r="E209" s="2"/>
      <x:c r="F209" s="2"/>
      <x:c r="G209" s="2"/>
      <x:c r="H209" s="2"/>
      <x:c r="I209" s="2"/>
      <x:c r="J209" s="2"/>
      <x:c r="K209" s="1"/>
      <x:c r="L209" s="1"/>
    </x:row>
    <x:row r="210" ht="21" customHeight="1">
      <x:c r="A210" s="1"/>
      <x:c r="B210" s="1"/>
      <x:c r="C210" s="1"/>
      <x:c r="D210" s="2"/>
      <x:c r="E210" s="2"/>
      <x:c r="F210" s="2"/>
      <x:c r="G210" s="2"/>
      <x:c r="H210" s="2"/>
      <x:c r="I210" s="2"/>
      <x:c r="J210" s="2"/>
      <x:c r="K210" s="1"/>
      <x:c r="L210" s="1"/>
    </x:row>
    <x:row r="211" ht="21" customHeight="1">
      <x:c r="A211" s="1"/>
      <x:c r="B211" s="1"/>
      <x:c r="C211" s="1"/>
      <x:c r="D211" s="1"/>
      <x:c r="E211" s="1"/>
      <x:c r="F211" s="1"/>
      <x:c r="G211" s="1"/>
      <x:c r="H211" s="1"/>
      <x:c r="I211" s="1"/>
      <x:c r="J211" s="1"/>
      <x:c r="K211" s="1"/>
      <x:c r="L211" s="1"/>
    </x:row>
    <x:row r="212" ht="21" customHeight="1">
      <x:c r="A212" s="1"/>
      <x:c r="B212" s="1"/>
      <x:c r="C212" s="1"/>
      <x:c r="D212" s="1"/>
      <x:c r="E212" s="1"/>
      <x:c r="F212" s="1"/>
      <x:c r="G212" s="1"/>
      <x:c r="H212" s="1"/>
      <x:c r="I212" s="1"/>
      <x:c r="J212" s="1"/>
      <x:c r="K212" s="1"/>
      <x:c r="L212" s="1"/>
    </x:row>
    <x:row r="213" ht="21" customHeight="1">
      <x:c r="A213" s="1"/>
      <x:c r="B213" s="1"/>
      <x:c r="C213" s="1"/>
      <x:c r="D213" s="1"/>
      <x:c r="E213" s="1"/>
      <x:c r="F213" s="1"/>
      <x:c r="G213" s="1"/>
      <x:c r="H213" s="1"/>
      <x:c r="I213" s="1"/>
      <x:c r="J213" s="1"/>
      <x:c r="K213" s="1"/>
      <x:c r="L213" s="1"/>
    </x:row>
    <x:row r="214" ht="21" customHeight="1">
      <x:c r="A214" s="1"/>
      <x:c r="B214" s="1"/>
      <x:c r="C214" s="1"/>
      <x:c r="D214" s="1"/>
      <x:c r="E214" s="1"/>
      <x:c r="F214" s="1"/>
      <x:c r="G214" s="1"/>
      <x:c r="H214" s="1"/>
      <x:c r="I214" s="1"/>
      <x:c r="J214" s="1"/>
      <x:c r="K214" s="1"/>
      <x:c r="L214" s="1"/>
    </x:row>
    <x:row r="215" ht="21" customHeight="1">
      <x:c r="A215" s="1"/>
      <x:c r="B215" s="1"/>
      <x:c r="C215" s="1"/>
      <x:c r="D215" s="1"/>
      <x:c r="E215" s="1"/>
      <x:c r="F215" s="1"/>
      <x:c r="G215" s="1"/>
      <x:c r="H215" s="1"/>
      <x:c r="I215" s="1"/>
      <x:c r="J215" s="1"/>
      <x:c r="K215" s="1"/>
      <x:c r="L215" s="1"/>
    </x:row>
    <x:row r="216" ht="21" customHeight="1">
      <x:c r="A216" s="1"/>
      <x:c r="B216" s="1"/>
      <x:c r="C216" s="1"/>
      <x:c r="D216" s="1"/>
      <x:c r="E216" s="1"/>
      <x:c r="F216" s="1"/>
      <x:c r="G216" s="1"/>
      <x:c r="H216" s="1"/>
      <x:c r="I216" s="1"/>
      <x:c r="J216" s="1"/>
      <x:c r="K216" s="1"/>
      <x:c r="L216" s="1"/>
    </x:row>
    <x:row r="217" ht="21" customHeight="1">
      <x:c r="A217" s="1"/>
      <x:c r="B217" s="1"/>
      <x:c r="C217" s="1"/>
      <x:c r="D217" s="1"/>
      <x:c r="E217" s="1"/>
      <x:c r="F217" s="1"/>
      <x:c r="G217" s="1"/>
      <x:c r="H217" s="1"/>
      <x:c r="I217" s="1"/>
      <x:c r="J217" s="1"/>
      <x:c r="K217" s="1"/>
      <x:c r="L217" s="1"/>
    </x:row>
    <x:row r="218" ht="21" customHeight="1">
      <x:c r="A218" s="1"/>
      <x:c r="B218" s="1"/>
      <x:c r="C218" s="1"/>
      <x:c r="D218" s="1"/>
      <x:c r="E218" s="1"/>
      <x:c r="F218" s="1"/>
      <x:c r="G218" s="1"/>
      <x:c r="H218" s="1"/>
      <x:c r="I218" s="1"/>
      <x:c r="J218" s="1"/>
      <x:c r="K218" s="1"/>
      <x:c r="L218" s="1"/>
    </x:row>
    <x:row r="219" ht="21" customHeight="1">
      <x:c r="A219" s="1"/>
      <x:c r="B219" s="1"/>
      <x:c r="C219" s="1"/>
      <x:c r="D219" s="1"/>
      <x:c r="E219" s="1"/>
      <x:c r="F219" s="1"/>
      <x:c r="G219" s="1"/>
      <x:c r="H219" s="1"/>
      <x:c r="I219" s="1"/>
      <x:c r="J219" s="1"/>
      <x:c r="K219" s="1"/>
      <x:c r="L219" s="1"/>
    </x:row>
    <x:row r="220" ht="21" customHeight="1">
      <x:c r="A220" s="1"/>
      <x:c r="B220" s="1"/>
      <x:c r="C220" s="1"/>
      <x:c r="D220" s="1"/>
      <x:c r="E220" s="1"/>
      <x:c r="F220" s="1"/>
      <x:c r="G220" s="1"/>
      <x:c r="H220" s="1"/>
      <x:c r="I220" s="1"/>
      <x:c r="J220" s="1"/>
      <x:c r="K220" s="1"/>
      <x:c r="L220" s="1"/>
    </x:row>
  </x:sheetData>
  <x:mergeCells>
    <x:mergeCell ref="C1:J2"/>
    <x:mergeCell ref="C4:J4"/>
    <x:mergeCell ref="C5:J7"/>
    <x:mergeCell ref="C8:J10"/>
    <x:mergeCell ref="C11:J13"/>
    <x:mergeCell ref="C14:J16"/>
    <x:mergeCell ref="C17:J19"/>
    <x:mergeCell ref="C20:J22"/>
    <x:mergeCell ref="C23:J25"/>
    <x:mergeCell ref="C26:J28"/>
    <x:mergeCell ref="C29:J31"/>
    <x:mergeCell ref="C32:J34"/>
    <x:mergeCell ref="C35:J37"/>
    <x:mergeCell ref="C38:J40"/>
    <x:mergeCell ref="C41:J43"/>
    <x:mergeCell ref="C44:J46"/>
    <x:mergeCell ref="C47:J49"/>
    <x:mergeCell ref="C50:J52"/>
    <x:mergeCell ref="C53:J55"/>
    <x:mergeCell ref="C56:J58"/>
    <x:mergeCell ref="C59:J61"/>
    <x:mergeCell ref="C62:J64"/>
    <x:mergeCell ref="C65:J67"/>
    <x:mergeCell ref="C68:J70"/>
    <x:mergeCell ref="C71:J73"/>
    <x:mergeCell ref="C74:J76"/>
    <x:mergeCell ref="C77:J79"/>
  </x:mergeCells>
  <x:pageMargins left="0.7" right="0.7" top="0.75" bottom="0.75" header="0.3" footer="0.3"/>
</x:worksheet>
</file>